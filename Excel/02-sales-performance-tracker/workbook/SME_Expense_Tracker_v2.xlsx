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 Data" sheetId="1" state="visible" r:id="rId3"/>
    <sheet name="Dashboard" sheetId="2" state="visible" r:id="rId4"/>
    <sheet name="Monthly Summary" sheetId="3" state="visible" r:id="rId5"/>
    <sheet name="KPI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<sst xmlns="http://schemas.openxmlformats.org/spreadsheetml/2006/main" count="748" uniqueCount="109">
  <si>
    <t xml:space="preserve">SME Expense Tracker 2024  |  Raw Data</t>
  </si>
  <si>
    <t xml:space="preserve">#</t>
  </si>
  <si>
    <t xml:space="preserve">Date</t>
  </si>
  <si>
    <t xml:space="preserve">Month</t>
  </si>
  <si>
    <t xml:space="preserve">Qtr</t>
  </si>
  <si>
    <t xml:space="preserve">Category</t>
  </si>
  <si>
    <t xml:space="preserve">Department</t>
  </si>
  <si>
    <t xml:space="preserve">Description</t>
  </si>
  <si>
    <t xml:space="preserve">Budget (£)</t>
  </si>
  <si>
    <t xml:space="preserve">Actual (£)</t>
  </si>
  <si>
    <t xml:space="preserve">Variance (£)</t>
  </si>
  <si>
    <t xml:space="preserve">Var %</t>
  </si>
  <si>
    <t xml:space="preserve">Status</t>
  </si>
  <si>
    <t xml:space="preserve">2024-01-01</t>
  </si>
  <si>
    <t xml:space="preserve">Jan</t>
  </si>
  <si>
    <t xml:space="preserve">Q1</t>
  </si>
  <si>
    <t xml:space="preserve">Salaries</t>
  </si>
  <si>
    <t xml:space="preserve">Marketing</t>
  </si>
  <si>
    <t xml:space="preserve">Monthly payroll</t>
  </si>
  <si>
    <t xml:space="preserve">Rent &amp; Utilities</t>
  </si>
  <si>
    <t xml:space="preserve">Office rent</t>
  </si>
  <si>
    <t xml:space="preserve">IT &amp; Software</t>
  </si>
  <si>
    <t xml:space="preserve">HR</t>
  </si>
  <si>
    <t xml:space="preserve">SaaS subscriptions</t>
  </si>
  <si>
    <t xml:space="preserve">Operations</t>
  </si>
  <si>
    <t xml:space="preserve">SEO &amp; PPC</t>
  </si>
  <si>
    <t xml:space="preserve">Travel</t>
  </si>
  <si>
    <t xml:space="preserve">Sales</t>
  </si>
  <si>
    <t xml:space="preserve">Hotel &amp; accommodation</t>
  </si>
  <si>
    <t xml:space="preserve">Office Supplies</t>
  </si>
  <si>
    <t xml:space="preserve">Coffee etc.</t>
  </si>
  <si>
    <t xml:space="preserve">Professional Services</t>
  </si>
  <si>
    <t xml:space="preserve">Finance</t>
  </si>
  <si>
    <t xml:space="preserve">Legal fees</t>
  </si>
  <si>
    <t xml:space="preserve">Training</t>
  </si>
  <si>
    <t xml:space="preserve">IT</t>
  </si>
  <si>
    <t xml:space="preserve">Certifications</t>
  </si>
  <si>
    <t xml:space="preserve">Miscellaneous</t>
  </si>
  <si>
    <t xml:space="preserve">Bank charges</t>
  </si>
  <si>
    <t xml:space="preserve">2024-02-01</t>
  </si>
  <si>
    <t xml:space="preserve">Feb</t>
  </si>
  <si>
    <t xml:space="preserve">Bonus payment</t>
  </si>
  <si>
    <t xml:space="preserve">IT support</t>
  </si>
  <si>
    <t xml:space="preserve">Content creation</t>
  </si>
  <si>
    <t xml:space="preserve">Client meetings</t>
  </si>
  <si>
    <t xml:space="preserve">Staff courses</t>
  </si>
  <si>
    <t xml:space="preserve">Postage</t>
  </si>
  <si>
    <t xml:space="preserve">2024-03-01</t>
  </si>
  <si>
    <t xml:space="preserve">Mar</t>
  </si>
  <si>
    <t xml:space="preserve">Contractor fees</t>
  </si>
  <si>
    <t xml:space="preserve">Internet &amp; phones</t>
  </si>
  <si>
    <t xml:space="preserve">Stationery &amp; paper</t>
  </si>
  <si>
    <t xml:space="preserve">Consulting</t>
  </si>
  <si>
    <t xml:space="preserve">Workshops</t>
  </si>
  <si>
    <t xml:space="preserve">2024-04-01</t>
  </si>
  <si>
    <t xml:space="preserve">Apr</t>
  </si>
  <si>
    <t xml:space="preserve">Q2</t>
  </si>
  <si>
    <t xml:space="preserve">Cloud hosting</t>
  </si>
  <si>
    <t xml:space="preserve">Digital advertising</t>
  </si>
  <si>
    <t xml:space="preserve">Printer supplies</t>
  </si>
  <si>
    <t xml:space="preserve">Accounting</t>
  </si>
  <si>
    <t xml:space="preserve">Insurance</t>
  </si>
  <si>
    <t xml:space="preserve">2024-05-01</t>
  </si>
  <si>
    <t xml:space="preserve">May</t>
  </si>
  <si>
    <t xml:space="preserve">2024-06-01</t>
  </si>
  <si>
    <t xml:space="preserve">Jun</t>
  </si>
  <si>
    <t xml:space="preserve">2024-07-01</t>
  </si>
  <si>
    <t xml:space="preserve">Jul</t>
  </si>
  <si>
    <t xml:space="preserve">Q3</t>
  </si>
  <si>
    <t xml:space="preserve">2024-08-01</t>
  </si>
  <si>
    <t xml:space="preserve">Aug</t>
  </si>
  <si>
    <t xml:space="preserve">2024-09-01</t>
  </si>
  <si>
    <t xml:space="preserve">Sep</t>
  </si>
  <si>
    <t xml:space="preserve">Electricity &amp; gas</t>
  </si>
  <si>
    <t xml:space="preserve">Transport</t>
  </si>
  <si>
    <t xml:space="preserve">2024-10-01</t>
  </si>
  <si>
    <t xml:space="preserve">Oct</t>
  </si>
  <si>
    <t xml:space="preserve">Q4</t>
  </si>
  <si>
    <t xml:space="preserve">2024-11-01</t>
  </si>
  <si>
    <t xml:space="preserve">Nov</t>
  </si>
  <si>
    <t xml:space="preserve">2024-12-01</t>
  </si>
  <si>
    <t xml:space="preserve">Dec</t>
  </si>
  <si>
    <t xml:space="preserve">SME Expense Tracker  |  Financial Dashboard  |  FY 2024</t>
  </si>
  <si>
    <t xml:space="preserve">All figures in GBP (£)  |  Data source: Expense Data sheet  |  Refresh: Open workbook</t>
  </si>
  <si>
    <t xml:space="preserve">TOTAL BUDGET</t>
  </si>
  <si>
    <t xml:space="preserve">TOTAL ACTUAL SPEND</t>
  </si>
  <si>
    <t xml:space="preserve">TOTAL VARIANCE</t>
  </si>
  <si>
    <t xml:space="preserve">OVER-BUDGET ITEMS</t>
  </si>
  <si>
    <t xml:space="preserve">UNDER-BUDGET ITEMS</t>
  </si>
  <si>
    <t xml:space="preserve">▌  Spend by Category</t>
  </si>
  <si>
    <t xml:space="preserve">▌  Monthly Spend Trend</t>
  </si>
  <si>
    <t xml:space="preserve">Budget £</t>
  </si>
  <si>
    <t xml:space="preserve">Actual £</t>
  </si>
  <si>
    <t xml:space="preserve">Variance £</t>
  </si>
  <si>
    <t xml:space="preserve">TOTAL</t>
  </si>
  <si>
    <t xml:space="preserve">Monthly Expense Summary  |  Actual Spend by Category</t>
  </si>
  <si>
    <t xml:space="preserve">Total</t>
  </si>
  <si>
    <t xml:space="preserve">GRAND TOTAL</t>
  </si>
  <si>
    <t xml:space="preserve">KPI Summary  |  Budget vs Actual Performance</t>
  </si>
  <si>
    <t xml:space="preserve">Metric</t>
  </si>
  <si>
    <t xml:space="preserve">Full Year</t>
  </si>
  <si>
    <t xml:space="preserve">vs Budget</t>
  </si>
  <si>
    <t xml:space="preserve">Total Budget (£)</t>
  </si>
  <si>
    <t xml:space="preserve">""</t>
  </si>
  <si>
    <t xml:space="preserve">"Target"</t>
  </si>
  <si>
    <t xml:space="preserve">Total Actual (£)</t>
  </si>
  <si>
    <t xml:space="preserve">"Actual"</t>
  </si>
  <si>
    <t xml:space="preserve">Over-Budget Items</t>
  </si>
  <si>
    <t xml:space="preserve">Under-Budget Items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</si>
</sst>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%"/>
    <numFmt numFmtId="167" formatCode="#,##0"/>
    <numFmt numFmtId="168" formatCode="0"/>
    <numFmt numFmtId="169" formatCode="@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0F172A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8"/>
      <color rgb="FF2563EB"/>
      <name val="Calibri"/>
      <family val="0"/>
      <charset val="1"/>
    </font>
    <font>
      <b val="true"/>
      <sz val="8"/>
      <color rgb="FFDC2626"/>
      <name val="Calibri"/>
      <family val="0"/>
      <charset val="1"/>
    </font>
    <font>
      <b val="true"/>
      <sz val="8"/>
      <color rgb="FFD97706"/>
      <name val="Calibri"/>
      <family val="0"/>
      <charset val="1"/>
    </font>
    <font>
      <b val="true"/>
      <sz val="8"/>
      <color rgb="FF16A34A"/>
      <name val="Calibri"/>
      <family val="0"/>
      <charset val="1"/>
    </font>
    <font>
      <b val="true"/>
      <sz val="18"/>
      <color rgb="FF2563EB"/>
      <name val="Calibri"/>
      <family val="0"/>
      <charset val="1"/>
    </font>
    <font>
      <b val="true"/>
      <sz val="18"/>
      <color rgb="FFDC2626"/>
      <name val="Calibri"/>
      <family val="0"/>
      <charset val="1"/>
    </font>
    <font>
      <b val="true"/>
      <sz val="18"/>
      <color rgb="FFD97706"/>
      <name val="Calibri"/>
      <family val="0"/>
      <charset val="1"/>
    </font>
    <font>
      <b val="true"/>
      <sz val="18"/>
      <color rgb="FF16A3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b val="true"/>
      <sz val="9"/>
      <color rgb="FF0F172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2563EB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0"/>
      <color rgb="FFD97706"/>
      <name val="Calibri"/>
      <family val="0"/>
      <charset val="1"/>
    </font>
    <font>
      <b val="true"/>
      <sz val="10"/>
      <color rgb="FF16A34A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563EB"/>
        <bgColor rgb="FF4672A8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9F9F9"/>
      </patternFill>
    </fill>
    <fill>
      <patternFill patternType="solid">
        <fgColor rgb="FFF1F5F9"/>
        <bgColor rgb="FFF9F9F9"/>
      </patternFill>
    </fill>
    <fill>
      <patternFill patternType="solid">
        <fgColor rgb="FFDBEAFE"/>
        <bgColor rgb="FFF1F5F9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F1F5F9"/>
      </patternFill>
    </fill>
    <fill>
      <patternFill patternType="solid">
        <fgColor rgb="FFDC2626"/>
        <bgColor rgb="FFAB4744"/>
      </patternFill>
    </fill>
    <fill>
      <patternFill patternType="solid">
        <fgColor rgb="FFD97706"/>
        <bgColor rgb="FFDC853E"/>
      </patternFill>
    </fill>
    <fill>
      <patternFill patternType="solid">
        <fgColor rgb="FF16A34A"/>
        <bgColor rgb="FF00808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 diagonalUp="false" diagonalDown="false"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 diagonalUp="false" diagonalDown="false"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 diagonalUp="false" diagonalDown="false"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8FAFC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8CD97"/>
      <rgbColor rgb="FF878787"/>
      <rgbColor rgb="FF93A9CE"/>
      <rgbColor rgb="FFAB4744"/>
      <rgbColor rgb="FFFEF3C7"/>
      <rgbColor rgb="FFDCFCE7"/>
      <rgbColor rgb="FF660066"/>
      <rgbColor rgb="FFDC853E"/>
      <rgbColor rgb="FF4672A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1F5F9"/>
      <rgbColor rgb="FFF9F9F9"/>
      <rgbColor rgb="FF93C5FD"/>
      <rgbColor rgb="FFD09493"/>
      <rgbColor rgb="FFD9D9D9"/>
      <rgbColor rgb="FFFEE2E2"/>
      <rgbColor rgb="FF2563EB"/>
      <rgbColor rgb="FF4299B0"/>
      <rgbColor rgb="FF99CC00"/>
      <rgbColor rgb="FFFFCC00"/>
      <rgbColor rgb="FFFF9900"/>
      <rgbColor rgb="FFD97706"/>
      <rgbColor rgb="FF64748B"/>
      <rgbColor rgb="FF8AA64F"/>
      <rgbColor rgb="FF003366"/>
      <rgbColor rgb="FF16A34A"/>
      <rgbColor rgb="FF0F172A"/>
      <rgbColor rgb="FF333300"/>
      <rgbColor rgb="FF993300"/>
      <rgbColor rgb="FF725990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 by Category — Budget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Dashboard!G11</c:f>
              <c:strCache>
                <c:ptCount val="1"/>
                <c:pt idx="0">
                  <c:v>Budget £</c:v>
                </c:pt>
              </c:strCache>
            </c:strRef>
          </c:tx>
          <c:spPr>
            <a:solidFill>
              <a:srgbClr val="93c5fd"/>
            </a:solidFill>
            <a:ln w="9360">
              <a:solidFill>
                <a:srgbClr val="93c5fd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Dashboard!$A$12:$A$20</c:f>
              <c:strCache>
                <c:ptCount val="9"/>
                <c:pt idx="0">
                  <c:v>Salaries</c:v>
                </c:pt>
                <c:pt idx="1">
                  <c:v>Rent &amp; Utilities</c:v>
                </c:pt>
                <c:pt idx="2">
                  <c:v>IT &amp; Software</c:v>
                </c:pt>
                <c:pt idx="3">
                  <c:v>Marketing</c:v>
                </c:pt>
                <c:pt idx="4">
                  <c:v>Travel</c:v>
                </c:pt>
                <c:pt idx="5">
                  <c:v>Office Supplies</c:v>
                </c:pt>
                <c:pt idx="6">
                  <c:v>Professional Services</c:v>
                </c:pt>
                <c:pt idx="7">
                  <c:v>Training</c:v>
                </c:pt>
                <c:pt idx="8">
                  <c:v>Miscellaneous</c:v>
                </c:pt>
              </c:strCache>
            </c:strRef>
          </c:cat>
          <c:val>
            <c:numRef>
              <c:f>Dashboard!$G$12:$G$20</c:f>
              <c:numCache>
                <c:formatCode>#,##0</c:formatCode>
                <c:ptCount val="9"/>
                <c:pt idx="0">
                  <c:v>136016.54</c:v>
                </c:pt>
                <c:pt idx="1">
                  <c:v>49883.81</c:v>
                </c:pt>
                <c:pt idx="2">
                  <c:v>26805.54</c:v>
                </c:pt>
                <c:pt idx="3">
                  <c:v>47561.04</c:v>
                </c:pt>
                <c:pt idx="4">
                  <c:v>14881.17</c:v>
                </c:pt>
                <c:pt idx="5">
                  <c:v>6945.68</c:v>
                </c:pt>
                <c:pt idx="6">
                  <c:v>39354.37</c:v>
                </c:pt>
                <c:pt idx="7">
                  <c:v>9689.47</c:v>
                </c:pt>
                <c:pt idx="8">
                  <c:v>3471.93</c:v>
                </c:pt>
              </c:numCache>
            </c:numRef>
          </c:val>
        </c:ser>
        <c:ser>
          <c:idx val="1"/>
          <c:order val="1"/>
          <c:tx>
            <c:strRef>
              <c:f>Dashboard!L11</c:f>
              <c:strCache>
                <c:ptCount val="1"/>
                <c:pt idx="0">
                  <c:v>Actual £</c:v>
                </c:pt>
              </c:strCache>
            </c:strRef>
          </c:tx>
          <c:spPr>
            <a:solidFill>
              <a:srgbClr val="dc2626"/>
            </a:solidFill>
            <a:ln w="9360">
              <a:solidFill>
                <a:srgbClr val="dc262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Dashboard!$A$12:$A$20</c:f>
              <c:strCache>
                <c:ptCount val="9"/>
                <c:pt idx="0">
                  <c:v>Salaries</c:v>
                </c:pt>
                <c:pt idx="1">
                  <c:v>Rent &amp; Utilities</c:v>
                </c:pt>
                <c:pt idx="2">
                  <c:v>IT &amp; Software</c:v>
                </c:pt>
                <c:pt idx="3">
                  <c:v>Marketing</c:v>
                </c:pt>
                <c:pt idx="4">
                  <c:v>Travel</c:v>
                </c:pt>
                <c:pt idx="5">
                  <c:v>Office Supplies</c:v>
                </c:pt>
                <c:pt idx="6">
                  <c:v>Professional Services</c:v>
                </c:pt>
                <c:pt idx="7">
                  <c:v>Training</c:v>
                </c:pt>
                <c:pt idx="8">
                  <c:v>Miscellaneous</c:v>
                </c:pt>
              </c:strCache>
            </c:strRef>
          </c:cat>
          <c:val>
            <c:numRef>
              <c:f>Dashboard!$L$12:$L$20</c:f>
              <c:numCache>
                <c:formatCode>#,##0</c:formatCode>
                <c:ptCount val="9"/>
                <c:pt idx="0">
                  <c:v>144250.53</c:v>
                </c:pt>
                <c:pt idx="1">
                  <c:v>49944.7</c:v>
                </c:pt>
                <c:pt idx="2">
                  <c:v>26387.88</c:v>
                </c:pt>
                <c:pt idx="3">
                  <c:v>41721.28</c:v>
                </c:pt>
                <c:pt idx="4">
                  <c:v>13375.02</c:v>
                </c:pt>
                <c:pt idx="5">
                  <c:v>7323.2</c:v>
                </c:pt>
                <c:pt idx="6">
                  <c:v>36215.68</c:v>
                </c:pt>
                <c:pt idx="7">
                  <c:v>8773.6</c:v>
                </c:pt>
                <c:pt idx="8">
                  <c:v>3279.88</c:v>
                </c:pt>
              </c:numCache>
            </c:numRef>
          </c:val>
        </c:ser>
        <c:gapWidth val="150"/>
        <c:overlap val="0"/>
        <c:axId val="24201995"/>
        <c:axId val="38600699"/>
      </c:barChart>
      <c:catAx>
        <c:axId val="242019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00699"/>
        <c:crosses val="autoZero"/>
        <c:auto val="1"/>
        <c:lblAlgn val="ctr"/>
        <c:lblOffset val="100"/>
        <c:noMultiLvlLbl val="0"/>
      </c:catAx>
      <c:valAx>
        <c:axId val="3860069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019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Spend Trend — Budget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Dashboard!T34</c:f>
              <c:strCache>
                <c:ptCount val="1"/>
                <c:pt idx="0">
                  <c:v>Budget £</c:v>
                </c:pt>
              </c:strCache>
            </c:strRef>
          </c:tx>
          <c:spPr>
            <a:solidFill>
              <a:srgbClr val="2563eb"/>
            </a:solidFill>
            <a:ln w="24840">
              <a:solidFill>
                <a:srgbClr val="2563eb"/>
              </a:solidFill>
              <a:round/>
            </a:ln>
          </c:spPr>
          <c:marker>
            <c:symbol val="circle"/>
            <c:size val="5"/>
            <c:spPr>
              <a:solidFill>
                <a:srgbClr val="2563e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Dashboard!$S$35:$S$46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Dashboard!$T$35:$T$46</c:f>
              <c:numCache>
                <c:formatCode>#,##0</c:formatCode>
                <c:ptCount val="12"/>
                <c:pt idx="0">
                  <c:v>22825.81</c:v>
                </c:pt>
                <c:pt idx="1">
                  <c:v>29290.46</c:v>
                </c:pt>
                <c:pt idx="2">
                  <c:v>25055.76</c:v>
                </c:pt>
                <c:pt idx="3">
                  <c:v>33062.11</c:v>
                </c:pt>
                <c:pt idx="4">
                  <c:v>24132.53</c:v>
                </c:pt>
                <c:pt idx="5">
                  <c:v>27909.44</c:v>
                </c:pt>
                <c:pt idx="6">
                  <c:v>27350.85</c:v>
                </c:pt>
                <c:pt idx="7">
                  <c:v>29181.92</c:v>
                </c:pt>
                <c:pt idx="8">
                  <c:v>28415.52</c:v>
                </c:pt>
                <c:pt idx="9">
                  <c:v>30191.8</c:v>
                </c:pt>
                <c:pt idx="10">
                  <c:v>29124.51</c:v>
                </c:pt>
                <c:pt idx="11">
                  <c:v>28068.84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Dashboard!U34</c:f>
              <c:strCache>
                <c:ptCount val="1"/>
                <c:pt idx="0">
                  <c:v>Actual £</c:v>
                </c:pt>
              </c:strCache>
            </c:strRef>
          </c:tx>
          <c:spPr>
            <a:solidFill>
              <a:srgbClr val="dc2626"/>
            </a:solidFill>
            <a:ln w="24840">
              <a:solidFill>
                <a:srgbClr val="dc2626"/>
              </a:solidFill>
              <a:round/>
            </a:ln>
          </c:spPr>
          <c:marker>
            <c:symbol val="circle"/>
            <c:size val="5"/>
            <c:spPr>
              <a:solidFill>
                <a:srgbClr val="dc262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Dashboard!$S$35:$S$46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Dashboard!$U$35:$U$46</c:f>
              <c:numCache>
                <c:formatCode>#,##0</c:formatCode>
                <c:ptCount val="12"/>
                <c:pt idx="0">
                  <c:v>22859.04</c:v>
                </c:pt>
                <c:pt idx="1">
                  <c:v>29746.87</c:v>
                </c:pt>
                <c:pt idx="2">
                  <c:v>22388.18</c:v>
                </c:pt>
                <c:pt idx="3">
                  <c:v>33017.18</c:v>
                </c:pt>
                <c:pt idx="4">
                  <c:v>22121.62</c:v>
                </c:pt>
                <c:pt idx="5">
                  <c:v>26309.05</c:v>
                </c:pt>
                <c:pt idx="6">
                  <c:v>27450.03</c:v>
                </c:pt>
                <c:pt idx="7">
                  <c:v>29119.51</c:v>
                </c:pt>
                <c:pt idx="8">
                  <c:v>28551.5</c:v>
                </c:pt>
                <c:pt idx="9">
                  <c:v>32776.96</c:v>
                </c:pt>
                <c:pt idx="10">
                  <c:v>27019.21</c:v>
                </c:pt>
                <c:pt idx="11">
                  <c:v>29912.62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094898"/>
        <c:axId val="51794720"/>
      </c:lineChart>
      <c:catAx>
        <c:axId val="60948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94720"/>
        <c:crosses val="autoZero"/>
        <c:auto val="1"/>
        <c:lblAlgn val="ctr"/>
        <c:lblOffset val="100"/>
        <c:noMultiLvlLbl val="0"/>
      </c:catAx>
      <c:valAx>
        <c:axId val="517947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48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Spend Mix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Dashboard!L11</c:f>
              <c:strCache>
                <c:ptCount val="1"/>
                <c:pt idx="0">
                  <c:v>Actual £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eparator>
</c:separator>
            <c:showLeaderLines val="1"/>
          </c:dLbls>
          <c:cat>
            <c:strRef>
              <c:f>Dashboard!$A$12:$A$20</c:f>
              <c:strCache>
                <c:ptCount val="9"/>
                <c:pt idx="0">
                  <c:v>Salaries</c:v>
                </c:pt>
                <c:pt idx="1">
                  <c:v>Rent &amp; Utilities</c:v>
                </c:pt>
                <c:pt idx="2">
                  <c:v>IT &amp; Software</c:v>
                </c:pt>
                <c:pt idx="3">
                  <c:v>Marketing</c:v>
                </c:pt>
                <c:pt idx="4">
                  <c:v>Travel</c:v>
                </c:pt>
                <c:pt idx="5">
                  <c:v>Office Supplies</c:v>
                </c:pt>
                <c:pt idx="6">
                  <c:v>Professional Services</c:v>
                </c:pt>
                <c:pt idx="7">
                  <c:v>Training</c:v>
                </c:pt>
                <c:pt idx="8">
                  <c:v>Miscellaneous</c:v>
                </c:pt>
              </c:strCache>
            </c:strRef>
          </c:cat>
          <c:val>
            <c:numRef>
              <c:f>Dashboard!$L$12:$L$20</c:f>
              <c:numCache>
                <c:formatCode>#,##0</c:formatCode>
                <c:ptCount val="9"/>
                <c:pt idx="0">
                  <c:v>144250.53</c:v>
                </c:pt>
                <c:pt idx="1">
                  <c:v>49944.7</c:v>
                </c:pt>
                <c:pt idx="2">
                  <c:v>26387.88</c:v>
                </c:pt>
                <c:pt idx="3">
                  <c:v>41721.28</c:v>
                </c:pt>
                <c:pt idx="4">
                  <c:v>13375.02</c:v>
                </c:pt>
                <c:pt idx="5">
                  <c:v>7323.2</c:v>
                </c:pt>
                <c:pt idx="6">
                  <c:v>36215.68</c:v>
                </c:pt>
                <c:pt idx="7">
                  <c:v>8773.6</c:v>
                </c:pt>
                <c:pt idx="8">
                  <c:v>3279.88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22</xdr:col>
      <xdr:colOff>224280</xdr:colOff>
      <xdr:row>42</xdr:row>
      <xdr:rowOff>187560</xdr:rowOff>
    </xdr:to>
    <xdr:graphicFrame>
      <xdr:nvGraphicFramePr>
        <xdr:cNvPr id="0" name="Chart 1"/>
        <xdr:cNvGraphicFramePr/>
      </xdr:nvGraphicFramePr>
      <xdr:xfrm>
        <a:off x="0" y="509580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22</xdr:row>
      <xdr:rowOff>0</xdr:rowOff>
    </xdr:from>
    <xdr:to>
      <xdr:col>36</xdr:col>
      <xdr:colOff>73080</xdr:colOff>
      <xdr:row>42</xdr:row>
      <xdr:rowOff>187560</xdr:rowOff>
    </xdr:to>
    <xdr:graphicFrame>
      <xdr:nvGraphicFramePr>
        <xdr:cNvPr id="1" name="Chart 2"/>
        <xdr:cNvGraphicFramePr/>
      </xdr:nvGraphicFramePr>
      <xdr:xfrm>
        <a:off x="4287600" y="509580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47</xdr:row>
      <xdr:rowOff>0</xdr:rowOff>
    </xdr:from>
    <xdr:to>
      <xdr:col>22</xdr:col>
      <xdr:colOff>224280</xdr:colOff>
      <xdr:row>65</xdr:row>
      <xdr:rowOff>170640</xdr:rowOff>
    </xdr:to>
    <xdr:graphicFrame>
      <xdr:nvGraphicFramePr>
        <xdr:cNvPr id="2" name="Chart 3"/>
        <xdr:cNvGraphicFramePr/>
      </xdr:nvGraphicFramePr>
      <xdr:xfrm>
        <a:off x="0" y="985824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22"/>
    <col collapsed="false" customWidth="true" hidden="false" outlineLevel="0" max="6" min="6" style="0" width="15"/>
    <col collapsed="false" customWidth="true" hidden="false" outlineLevel="0" max="7" min="7" style="0" width="28"/>
    <col collapsed="false" customWidth="true" hidden="false" outlineLevel="0" max="10" min="8" style="0" width="13"/>
    <col collapsed="false" customWidth="true" hidden="false" outlineLevel="0" max="11" min="11" style="0" width="10"/>
    <col collapsed="false" customWidth="true" hidden="false" outlineLevel="0" max="12" min="12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5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customFormat="false" ht="15" hidden="false" customHeight="false" outlineLevel="0" collapsed="false">
      <c r="A3" s="3" t="n">
        <v>1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4" t="n">
        <v>9125.05</v>
      </c>
      <c r="I3" s="4" t="n">
        <v>10090.5</v>
      </c>
      <c r="J3" s="4" t="n">
        <f aca="false">I3-H3</f>
        <v>965.450000000001</v>
      </c>
      <c r="K3" s="5" t="n">
        <f aca="false">IFERROR((I3-H3)/H3,0)</f>
        <v>0.105802159988165</v>
      </c>
      <c r="L3" s="3" t="str">
        <f aca="false">IF(J3&gt;0,"Over Budget",IF(J3&lt;0,"Under Budget","On Budget"))</f>
        <v>Over Budget</v>
      </c>
    </row>
    <row r="4" customFormat="false" ht="15" hidden="false" customHeight="false" outlineLevel="0" collapsed="false">
      <c r="A4" s="6" t="n">
        <v>2</v>
      </c>
      <c r="B4" s="6" t="s">
        <v>13</v>
      </c>
      <c r="C4" s="6" t="s">
        <v>14</v>
      </c>
      <c r="D4" s="6" t="s">
        <v>15</v>
      </c>
      <c r="E4" s="6" t="s">
        <v>19</v>
      </c>
      <c r="F4" s="6" t="s">
        <v>17</v>
      </c>
      <c r="G4" s="6" t="s">
        <v>20</v>
      </c>
      <c r="H4" s="7" t="n">
        <v>4176.7</v>
      </c>
      <c r="I4" s="7" t="n">
        <v>3257.81</v>
      </c>
      <c r="J4" s="7" t="n">
        <f aca="false">I4-H4</f>
        <v>-918.89</v>
      </c>
      <c r="K4" s="8" t="n">
        <f aca="false">IFERROR((I4-H4)/H4,0)</f>
        <v>-0.220003830775493</v>
      </c>
      <c r="L4" s="6" t="str">
        <f aca="false">IF(J4&gt;0,"Over Budget",IF(J4&lt;0,"Under Budget","On Budget"))</f>
        <v>Under Budget</v>
      </c>
    </row>
    <row r="5" customFormat="false" ht="15" hidden="false" customHeight="false" outlineLevel="0" collapsed="false">
      <c r="A5" s="3" t="n">
        <v>3</v>
      </c>
      <c r="B5" s="3" t="s">
        <v>13</v>
      </c>
      <c r="C5" s="3" t="s">
        <v>14</v>
      </c>
      <c r="D5" s="3" t="s">
        <v>15</v>
      </c>
      <c r="E5" s="3" t="s">
        <v>21</v>
      </c>
      <c r="F5" s="3" t="s">
        <v>22</v>
      </c>
      <c r="G5" s="3" t="s">
        <v>23</v>
      </c>
      <c r="H5" s="4" t="n">
        <v>1268.53</v>
      </c>
      <c r="I5" s="4" t="n">
        <v>1492.22</v>
      </c>
      <c r="J5" s="4" t="n">
        <f aca="false">I5-H5</f>
        <v>223.69</v>
      </c>
      <c r="K5" s="5" t="n">
        <f aca="false">IFERROR((I5-H5)/H5,0)</f>
        <v>0.176337965992133</v>
      </c>
      <c r="L5" s="3" t="str">
        <f aca="false">IF(J5&gt;0,"Over Budget",IF(J5&lt;0,"Under Budget","On Budget"))</f>
        <v>Over Budget</v>
      </c>
    </row>
    <row r="6" customFormat="false" ht="15" hidden="false" customHeight="false" outlineLevel="0" collapsed="false">
      <c r="A6" s="6" t="n">
        <v>4</v>
      </c>
      <c r="B6" s="6" t="s">
        <v>13</v>
      </c>
      <c r="C6" s="6" t="s">
        <v>14</v>
      </c>
      <c r="D6" s="6" t="s">
        <v>15</v>
      </c>
      <c r="E6" s="6" t="s">
        <v>17</v>
      </c>
      <c r="F6" s="6" t="s">
        <v>24</v>
      </c>
      <c r="G6" s="6" t="s">
        <v>25</v>
      </c>
      <c r="H6" s="7" t="n">
        <v>3096.51</v>
      </c>
      <c r="I6" s="7" t="n">
        <v>2741.45</v>
      </c>
      <c r="J6" s="7" t="n">
        <f aca="false">I6-H6</f>
        <v>-355.06</v>
      </c>
      <c r="K6" s="8" t="n">
        <f aca="false">IFERROR((I6-H6)/H6,0)</f>
        <v>-0.114664573988135</v>
      </c>
      <c r="L6" s="6" t="str">
        <f aca="false">IF(J6&gt;0,"Over Budget",IF(J6&lt;0,"Under Budget","On Budget"))</f>
        <v>Under Budget</v>
      </c>
    </row>
    <row r="7" customFormat="false" ht="15" hidden="false" customHeight="false" outlineLevel="0" collapsed="false">
      <c r="A7" s="3" t="n">
        <v>5</v>
      </c>
      <c r="B7" s="3" t="s">
        <v>13</v>
      </c>
      <c r="C7" s="3" t="s">
        <v>14</v>
      </c>
      <c r="D7" s="3" t="s">
        <v>15</v>
      </c>
      <c r="E7" s="3" t="s">
        <v>26</v>
      </c>
      <c r="F7" s="3" t="s">
        <v>27</v>
      </c>
      <c r="G7" s="3" t="s">
        <v>28</v>
      </c>
      <c r="H7" s="4" t="n">
        <v>1307.12</v>
      </c>
      <c r="I7" s="4" t="n">
        <v>995.36</v>
      </c>
      <c r="J7" s="4" t="n">
        <f aca="false">I7-H7</f>
        <v>-311.76</v>
      </c>
      <c r="K7" s="5" t="n">
        <f aca="false">IFERROR((I7-H7)/H7,0)</f>
        <v>-0.238509088683518</v>
      </c>
      <c r="L7" s="3" t="str">
        <f aca="false">IF(J7&gt;0,"Over Budget",IF(J7&lt;0,"Under Budget","On Budget"))</f>
        <v>Under Budget</v>
      </c>
    </row>
    <row r="8" customFormat="false" ht="15" hidden="false" customHeight="false" outlineLevel="0" collapsed="false">
      <c r="A8" s="6" t="n">
        <v>6</v>
      </c>
      <c r="B8" s="6" t="s">
        <v>13</v>
      </c>
      <c r="C8" s="6" t="s">
        <v>14</v>
      </c>
      <c r="D8" s="6" t="s">
        <v>15</v>
      </c>
      <c r="E8" s="6" t="s">
        <v>29</v>
      </c>
      <c r="F8" s="6" t="s">
        <v>27</v>
      </c>
      <c r="G8" s="6" t="s">
        <v>30</v>
      </c>
      <c r="H8" s="7" t="n">
        <v>440.18</v>
      </c>
      <c r="I8" s="7" t="n">
        <v>485.88</v>
      </c>
      <c r="J8" s="7" t="n">
        <f aca="false">I8-H8</f>
        <v>45.7</v>
      </c>
      <c r="K8" s="8" t="n">
        <f aca="false">IFERROR((I8-H8)/H8,0)</f>
        <v>0.103821164069244</v>
      </c>
      <c r="L8" s="6" t="str">
        <f aca="false">IF(J8&gt;0,"Over Budget",IF(J8&lt;0,"Under Budget","On Budget"))</f>
        <v>Over Budget</v>
      </c>
    </row>
    <row r="9" customFormat="false" ht="15" hidden="false" customHeight="false" outlineLevel="0" collapsed="false">
      <c r="A9" s="3" t="n">
        <v>7</v>
      </c>
      <c r="B9" s="3" t="s">
        <v>13</v>
      </c>
      <c r="C9" s="3" t="s">
        <v>14</v>
      </c>
      <c r="D9" s="3" t="s">
        <v>15</v>
      </c>
      <c r="E9" s="3" t="s">
        <v>31</v>
      </c>
      <c r="F9" s="3" t="s">
        <v>32</v>
      </c>
      <c r="G9" s="3" t="s">
        <v>33</v>
      </c>
      <c r="H9" s="4" t="n">
        <v>2050.41</v>
      </c>
      <c r="I9" s="4" t="n">
        <v>2587.36</v>
      </c>
      <c r="J9" s="4" t="n">
        <f aca="false">I9-H9</f>
        <v>536.95</v>
      </c>
      <c r="K9" s="5" t="n">
        <f aca="false">IFERROR((I9-H9)/H9,0)</f>
        <v>0.261874454377417</v>
      </c>
      <c r="L9" s="3" t="str">
        <f aca="false">IF(J9&gt;0,"Over Budget",IF(J9&lt;0,"Under Budget","On Budget"))</f>
        <v>Over Budget</v>
      </c>
    </row>
    <row r="10" customFormat="false" ht="15" hidden="false" customHeight="false" outlineLevel="0" collapsed="false">
      <c r="A10" s="6" t="n">
        <v>8</v>
      </c>
      <c r="B10" s="6" t="s">
        <v>13</v>
      </c>
      <c r="C10" s="6" t="s">
        <v>14</v>
      </c>
      <c r="D10" s="6" t="s">
        <v>15</v>
      </c>
      <c r="E10" s="6" t="s">
        <v>34</v>
      </c>
      <c r="F10" s="6" t="s">
        <v>35</v>
      </c>
      <c r="G10" s="6" t="s">
        <v>36</v>
      </c>
      <c r="H10" s="7" t="n">
        <v>1045.7</v>
      </c>
      <c r="I10" s="7" t="n">
        <v>923.7</v>
      </c>
      <c r="J10" s="7" t="n">
        <f aca="false">I10-H10</f>
        <v>-122</v>
      </c>
      <c r="K10" s="8" t="n">
        <f aca="false">IFERROR((I10-H10)/H10,0)</f>
        <v>-0.116668260495362</v>
      </c>
      <c r="L10" s="6" t="str">
        <f aca="false">IF(J10&gt;0,"Over Budget",IF(J10&lt;0,"Under Budget","On Budget"))</f>
        <v>Under Budget</v>
      </c>
    </row>
    <row r="11" customFormat="false" ht="15" hidden="false" customHeight="false" outlineLevel="0" collapsed="false">
      <c r="A11" s="3" t="n">
        <v>9</v>
      </c>
      <c r="B11" s="3" t="s">
        <v>13</v>
      </c>
      <c r="C11" s="3" t="s">
        <v>14</v>
      </c>
      <c r="D11" s="3" t="s">
        <v>15</v>
      </c>
      <c r="E11" s="3" t="s">
        <v>37</v>
      </c>
      <c r="F11" s="3" t="s">
        <v>22</v>
      </c>
      <c r="G11" s="3" t="s">
        <v>38</v>
      </c>
      <c r="H11" s="4" t="n">
        <v>315.61</v>
      </c>
      <c r="I11" s="4" t="n">
        <v>284.76</v>
      </c>
      <c r="J11" s="4" t="n">
        <f aca="false">I11-H11</f>
        <v>-30.85</v>
      </c>
      <c r="K11" s="5" t="n">
        <f aca="false">IFERROR((I11-H11)/H11,0)</f>
        <v>-0.0977472196698458</v>
      </c>
      <c r="L11" s="3" t="str">
        <f aca="false">IF(J11&gt;0,"Over Budget",IF(J11&lt;0,"Under Budget","On Budget"))</f>
        <v>Under Budget</v>
      </c>
    </row>
    <row r="12" customFormat="false" ht="15" hidden="false" customHeight="false" outlineLevel="0" collapsed="false">
      <c r="A12" s="6" t="n">
        <v>10</v>
      </c>
      <c r="B12" s="6" t="s">
        <v>39</v>
      </c>
      <c r="C12" s="6" t="s">
        <v>40</v>
      </c>
      <c r="D12" s="6" t="s">
        <v>15</v>
      </c>
      <c r="E12" s="6" t="s">
        <v>16</v>
      </c>
      <c r="F12" s="6" t="s">
        <v>32</v>
      </c>
      <c r="G12" s="6" t="s">
        <v>41</v>
      </c>
      <c r="H12" s="7" t="n">
        <v>9961.44</v>
      </c>
      <c r="I12" s="7" t="n">
        <v>12106.3</v>
      </c>
      <c r="J12" s="7" t="n">
        <f aca="false">I12-H12</f>
        <v>2144.86</v>
      </c>
      <c r="K12" s="8" t="n">
        <f aca="false">IFERROR((I12-H12)/H12,0)</f>
        <v>0.215316259496619</v>
      </c>
      <c r="L12" s="6" t="str">
        <f aca="false">IF(J12&gt;0,"Over Budget",IF(J12&lt;0,"Under Budget","On Budget"))</f>
        <v>Over Budget</v>
      </c>
    </row>
    <row r="13" customFormat="false" ht="15" hidden="false" customHeight="false" outlineLevel="0" collapsed="false">
      <c r="A13" s="3" t="n">
        <v>11</v>
      </c>
      <c r="B13" s="3" t="s">
        <v>39</v>
      </c>
      <c r="C13" s="3" t="s">
        <v>40</v>
      </c>
      <c r="D13" s="3" t="s">
        <v>15</v>
      </c>
      <c r="E13" s="3" t="s">
        <v>19</v>
      </c>
      <c r="F13" s="3" t="s">
        <v>32</v>
      </c>
      <c r="G13" s="3" t="s">
        <v>20</v>
      </c>
      <c r="H13" s="4" t="n">
        <v>4355.32</v>
      </c>
      <c r="I13" s="4" t="n">
        <v>3690.82</v>
      </c>
      <c r="J13" s="4" t="n">
        <f aca="false">I13-H13</f>
        <v>-664.5</v>
      </c>
      <c r="K13" s="5" t="n">
        <f aca="false">IFERROR((I13-H13)/H13,0)</f>
        <v>-0.152572026854513</v>
      </c>
      <c r="L13" s="3" t="str">
        <f aca="false">IF(J13&gt;0,"Over Budget",IF(J13&lt;0,"Under Budget","On Budget"))</f>
        <v>Under Budget</v>
      </c>
    </row>
    <row r="14" customFormat="false" ht="15" hidden="false" customHeight="false" outlineLevel="0" collapsed="false">
      <c r="A14" s="6" t="n">
        <v>12</v>
      </c>
      <c r="B14" s="6" t="s">
        <v>39</v>
      </c>
      <c r="C14" s="6" t="s">
        <v>40</v>
      </c>
      <c r="D14" s="6" t="s">
        <v>15</v>
      </c>
      <c r="E14" s="6" t="s">
        <v>21</v>
      </c>
      <c r="F14" s="6" t="s">
        <v>22</v>
      </c>
      <c r="G14" s="6" t="s">
        <v>42</v>
      </c>
      <c r="H14" s="7" t="n">
        <v>3118.45</v>
      </c>
      <c r="I14" s="7" t="n">
        <v>3551.35</v>
      </c>
      <c r="J14" s="7" t="n">
        <f aca="false">I14-H14</f>
        <v>432.9</v>
      </c>
      <c r="K14" s="8" t="n">
        <f aca="false">IFERROR((I14-H14)/H14,0)</f>
        <v>0.138818964549696</v>
      </c>
      <c r="L14" s="6" t="str">
        <f aca="false">IF(J14&gt;0,"Over Budget",IF(J14&lt;0,"Under Budget","On Budget"))</f>
        <v>Over Budget</v>
      </c>
    </row>
    <row r="15" customFormat="false" ht="15" hidden="false" customHeight="false" outlineLevel="0" collapsed="false">
      <c r="A15" s="3" t="n">
        <v>13</v>
      </c>
      <c r="B15" s="3" t="s">
        <v>39</v>
      </c>
      <c r="C15" s="3" t="s">
        <v>40</v>
      </c>
      <c r="D15" s="3" t="s">
        <v>15</v>
      </c>
      <c r="E15" s="3" t="s">
        <v>17</v>
      </c>
      <c r="F15" s="3" t="s">
        <v>17</v>
      </c>
      <c r="G15" s="3" t="s">
        <v>43</v>
      </c>
      <c r="H15" s="4" t="n">
        <v>4605.46</v>
      </c>
      <c r="I15" s="4" t="n">
        <v>3575.78</v>
      </c>
      <c r="J15" s="4" t="n">
        <f aca="false">I15-H15</f>
        <v>-1029.68</v>
      </c>
      <c r="K15" s="5" t="n">
        <f aca="false">IFERROR((I15-H15)/H15,0)</f>
        <v>-0.223578100776035</v>
      </c>
      <c r="L15" s="3" t="str">
        <f aca="false">IF(J15&gt;0,"Over Budget",IF(J15&lt;0,"Under Budget","On Budget"))</f>
        <v>Under Budget</v>
      </c>
    </row>
    <row r="16" customFormat="false" ht="15" hidden="false" customHeight="false" outlineLevel="0" collapsed="false">
      <c r="A16" s="6" t="n">
        <v>14</v>
      </c>
      <c r="B16" s="6" t="s">
        <v>39</v>
      </c>
      <c r="C16" s="6" t="s">
        <v>40</v>
      </c>
      <c r="D16" s="6" t="s">
        <v>15</v>
      </c>
      <c r="E16" s="6" t="s">
        <v>26</v>
      </c>
      <c r="F16" s="6" t="s">
        <v>17</v>
      </c>
      <c r="G16" s="6" t="s">
        <v>44</v>
      </c>
      <c r="H16" s="7" t="n">
        <v>1240.97</v>
      </c>
      <c r="I16" s="7" t="n">
        <v>1446.43</v>
      </c>
      <c r="J16" s="7" t="n">
        <f aca="false">I16-H16</f>
        <v>205.46</v>
      </c>
      <c r="K16" s="8" t="n">
        <f aca="false">IFERROR((I16-H16)/H16,0)</f>
        <v>0.165564034585848</v>
      </c>
      <c r="L16" s="6" t="str">
        <f aca="false">IF(J16&gt;0,"Over Budget",IF(J16&lt;0,"Under Budget","On Budget"))</f>
        <v>Over Budget</v>
      </c>
    </row>
    <row r="17" customFormat="false" ht="15" hidden="false" customHeight="false" outlineLevel="0" collapsed="false">
      <c r="A17" s="3" t="n">
        <v>15</v>
      </c>
      <c r="B17" s="3" t="s">
        <v>39</v>
      </c>
      <c r="C17" s="3" t="s">
        <v>40</v>
      </c>
      <c r="D17" s="3" t="s">
        <v>15</v>
      </c>
      <c r="E17" s="3" t="s">
        <v>29</v>
      </c>
      <c r="F17" s="3" t="s">
        <v>32</v>
      </c>
      <c r="G17" s="3" t="s">
        <v>30</v>
      </c>
      <c r="H17" s="4" t="n">
        <v>559.67</v>
      </c>
      <c r="I17" s="4" t="n">
        <v>633.03</v>
      </c>
      <c r="J17" s="4" t="n">
        <f aca="false">I17-H17</f>
        <v>73.36</v>
      </c>
      <c r="K17" s="5" t="n">
        <f aca="false">IFERROR((I17-H17)/H17,0)</f>
        <v>0.131077241946147</v>
      </c>
      <c r="L17" s="3" t="str">
        <f aca="false">IF(J17&gt;0,"Over Budget",IF(J17&lt;0,"Under Budget","On Budget"))</f>
        <v>Over Budget</v>
      </c>
    </row>
    <row r="18" customFormat="false" ht="15" hidden="false" customHeight="false" outlineLevel="0" collapsed="false">
      <c r="A18" s="6" t="n">
        <v>16</v>
      </c>
      <c r="B18" s="6" t="s">
        <v>39</v>
      </c>
      <c r="C18" s="6" t="s">
        <v>40</v>
      </c>
      <c r="D18" s="6" t="s">
        <v>15</v>
      </c>
      <c r="E18" s="6" t="s">
        <v>31</v>
      </c>
      <c r="F18" s="6" t="s">
        <v>24</v>
      </c>
      <c r="G18" s="6" t="s">
        <v>33</v>
      </c>
      <c r="H18" s="7" t="n">
        <v>4018.87</v>
      </c>
      <c r="I18" s="7" t="n">
        <v>3425.15</v>
      </c>
      <c r="J18" s="7" t="n">
        <f aca="false">I18-H18</f>
        <v>-593.72</v>
      </c>
      <c r="K18" s="8" t="n">
        <f aca="false">IFERROR((I18-H18)/H18,0)</f>
        <v>-0.147733069245833</v>
      </c>
      <c r="L18" s="6" t="str">
        <f aca="false">IF(J18&gt;0,"Over Budget",IF(J18&lt;0,"Under Budget","On Budget"))</f>
        <v>Under Budget</v>
      </c>
    </row>
    <row r="19" customFormat="false" ht="15" hidden="false" customHeight="false" outlineLevel="0" collapsed="false">
      <c r="A19" s="3" t="n">
        <v>17</v>
      </c>
      <c r="B19" s="3" t="s">
        <v>39</v>
      </c>
      <c r="C19" s="3" t="s">
        <v>40</v>
      </c>
      <c r="D19" s="3" t="s">
        <v>15</v>
      </c>
      <c r="E19" s="3" t="s">
        <v>34</v>
      </c>
      <c r="F19" s="3" t="s">
        <v>24</v>
      </c>
      <c r="G19" s="3" t="s">
        <v>45</v>
      </c>
      <c r="H19" s="4" t="n">
        <v>1130.51</v>
      </c>
      <c r="I19" s="4" t="n">
        <v>1045.86</v>
      </c>
      <c r="J19" s="4" t="n">
        <f aca="false">I19-H19</f>
        <v>-84.6500000000001</v>
      </c>
      <c r="K19" s="5" t="n">
        <f aca="false">IFERROR((I19-H19)/H19,0)</f>
        <v>-0.0748777100600615</v>
      </c>
      <c r="L19" s="3" t="str">
        <f aca="false">IF(J19&gt;0,"Over Budget",IF(J19&lt;0,"Under Budget","On Budget"))</f>
        <v>Under Budget</v>
      </c>
    </row>
    <row r="20" customFormat="false" ht="15" hidden="false" customHeight="false" outlineLevel="0" collapsed="false">
      <c r="A20" s="6" t="n">
        <v>18</v>
      </c>
      <c r="B20" s="6" t="s">
        <v>39</v>
      </c>
      <c r="C20" s="6" t="s">
        <v>40</v>
      </c>
      <c r="D20" s="6" t="s">
        <v>15</v>
      </c>
      <c r="E20" s="6" t="s">
        <v>37</v>
      </c>
      <c r="F20" s="6" t="s">
        <v>27</v>
      </c>
      <c r="G20" s="6" t="s">
        <v>46</v>
      </c>
      <c r="H20" s="7" t="n">
        <v>299.77</v>
      </c>
      <c r="I20" s="7" t="n">
        <v>272.15</v>
      </c>
      <c r="J20" s="7" t="n">
        <f aca="false">I20-H20</f>
        <v>-27.62</v>
      </c>
      <c r="K20" s="8" t="n">
        <f aca="false">IFERROR((I20-H20)/H20,0)</f>
        <v>-0.0921373052673717</v>
      </c>
      <c r="L20" s="6" t="str">
        <f aca="false">IF(J20&gt;0,"Over Budget",IF(J20&lt;0,"Under Budget","On Budget"))</f>
        <v>Under Budget</v>
      </c>
    </row>
    <row r="21" customFormat="false" ht="15" hidden="false" customHeight="false" outlineLevel="0" collapsed="false">
      <c r="A21" s="3" t="n">
        <v>19</v>
      </c>
      <c r="B21" s="3" t="s">
        <v>47</v>
      </c>
      <c r="C21" s="3" t="s">
        <v>48</v>
      </c>
      <c r="D21" s="3" t="s">
        <v>15</v>
      </c>
      <c r="E21" s="3" t="s">
        <v>16</v>
      </c>
      <c r="F21" s="3" t="s">
        <v>27</v>
      </c>
      <c r="G21" s="3" t="s">
        <v>49</v>
      </c>
      <c r="H21" s="4" t="n">
        <v>9698.15</v>
      </c>
      <c r="I21" s="4" t="n">
        <v>8572.82</v>
      </c>
      <c r="J21" s="4" t="n">
        <f aca="false">I21-H21</f>
        <v>-1125.33</v>
      </c>
      <c r="K21" s="5" t="n">
        <f aca="false">IFERROR((I21-H21)/H21,0)</f>
        <v>-0.116035532550022</v>
      </c>
      <c r="L21" s="3" t="str">
        <f aca="false">IF(J21&gt;0,"Over Budget",IF(J21&lt;0,"Under Budget","On Budget"))</f>
        <v>Under Budget</v>
      </c>
    </row>
    <row r="22" customFormat="false" ht="15" hidden="false" customHeight="false" outlineLevel="0" collapsed="false">
      <c r="A22" s="6" t="n">
        <v>20</v>
      </c>
      <c r="B22" s="6" t="s">
        <v>47</v>
      </c>
      <c r="C22" s="6" t="s">
        <v>48</v>
      </c>
      <c r="D22" s="6" t="s">
        <v>15</v>
      </c>
      <c r="E22" s="6" t="s">
        <v>19</v>
      </c>
      <c r="F22" s="6" t="s">
        <v>17</v>
      </c>
      <c r="G22" s="6" t="s">
        <v>50</v>
      </c>
      <c r="H22" s="7" t="n">
        <v>3928.43</v>
      </c>
      <c r="I22" s="7" t="n">
        <v>3312.68</v>
      </c>
      <c r="J22" s="7" t="n">
        <f aca="false">I22-H22</f>
        <v>-615.75</v>
      </c>
      <c r="K22" s="8" t="n">
        <f aca="false">IFERROR((I22-H22)/H22,0)</f>
        <v>-0.156742006348592</v>
      </c>
      <c r="L22" s="6" t="str">
        <f aca="false">IF(J22&gt;0,"Over Budget",IF(J22&lt;0,"Under Budget","On Budget"))</f>
        <v>Under Budget</v>
      </c>
    </row>
    <row r="23" customFormat="false" ht="15" hidden="false" customHeight="false" outlineLevel="0" collapsed="false">
      <c r="A23" s="3" t="n">
        <v>21</v>
      </c>
      <c r="B23" s="3" t="s">
        <v>47</v>
      </c>
      <c r="C23" s="3" t="s">
        <v>48</v>
      </c>
      <c r="D23" s="3" t="s">
        <v>15</v>
      </c>
      <c r="E23" s="3" t="s">
        <v>21</v>
      </c>
      <c r="F23" s="3" t="s">
        <v>27</v>
      </c>
      <c r="G23" s="3" t="s">
        <v>42</v>
      </c>
      <c r="H23" s="4" t="n">
        <v>2335.09</v>
      </c>
      <c r="I23" s="4" t="n">
        <v>2237.14</v>
      </c>
      <c r="J23" s="4" t="n">
        <f aca="false">I23-H23</f>
        <v>-97.9500000000003</v>
      </c>
      <c r="K23" s="5" t="n">
        <f aca="false">IFERROR((I23-H23)/H23,0)</f>
        <v>-0.0419469913365225</v>
      </c>
      <c r="L23" s="3" t="str">
        <f aca="false">IF(J23&gt;0,"Over Budget",IF(J23&lt;0,"Under Budget","On Budget"))</f>
        <v>Under Budget</v>
      </c>
    </row>
    <row r="24" customFormat="false" ht="15" hidden="false" customHeight="false" outlineLevel="0" collapsed="false">
      <c r="A24" s="6" t="n">
        <v>22</v>
      </c>
      <c r="B24" s="6" t="s">
        <v>47</v>
      </c>
      <c r="C24" s="6" t="s">
        <v>48</v>
      </c>
      <c r="D24" s="6" t="s">
        <v>15</v>
      </c>
      <c r="E24" s="6" t="s">
        <v>17</v>
      </c>
      <c r="F24" s="6" t="s">
        <v>27</v>
      </c>
      <c r="G24" s="6" t="s">
        <v>25</v>
      </c>
      <c r="H24" s="7" t="n">
        <v>2979.95</v>
      </c>
      <c r="I24" s="7" t="n">
        <v>2673.53</v>
      </c>
      <c r="J24" s="7" t="n">
        <f aca="false">I24-H24</f>
        <v>-306.42</v>
      </c>
      <c r="K24" s="8" t="n">
        <f aca="false">IFERROR((I24-H24)/H24,0)</f>
        <v>-0.102827228644776</v>
      </c>
      <c r="L24" s="6" t="str">
        <f aca="false">IF(J24&gt;0,"Over Budget",IF(J24&lt;0,"Under Budget","On Budget"))</f>
        <v>Under Budget</v>
      </c>
    </row>
    <row r="25" customFormat="false" ht="15" hidden="false" customHeight="false" outlineLevel="0" collapsed="false">
      <c r="A25" s="3" t="n">
        <v>23</v>
      </c>
      <c r="B25" s="3" t="s">
        <v>47</v>
      </c>
      <c r="C25" s="3" t="s">
        <v>48</v>
      </c>
      <c r="D25" s="3" t="s">
        <v>15</v>
      </c>
      <c r="E25" s="3" t="s">
        <v>26</v>
      </c>
      <c r="F25" s="3" t="s">
        <v>22</v>
      </c>
      <c r="G25" s="3" t="s">
        <v>28</v>
      </c>
      <c r="H25" s="4" t="n">
        <v>1315.07</v>
      </c>
      <c r="I25" s="4" t="n">
        <v>1075.5</v>
      </c>
      <c r="J25" s="4" t="n">
        <f aca="false">I25-H25</f>
        <v>-239.57</v>
      </c>
      <c r="K25" s="5" t="n">
        <f aca="false">IFERROR((I25-H25)/H25,0)</f>
        <v>-0.182172812093653</v>
      </c>
      <c r="L25" s="3" t="str">
        <f aca="false">IF(J25&gt;0,"Over Budget",IF(J25&lt;0,"Under Budget","On Budget"))</f>
        <v>Under Budget</v>
      </c>
    </row>
    <row r="26" customFormat="false" ht="15" hidden="false" customHeight="false" outlineLevel="0" collapsed="false">
      <c r="A26" s="6" t="n">
        <v>24</v>
      </c>
      <c r="B26" s="6" t="s">
        <v>47</v>
      </c>
      <c r="C26" s="6" t="s">
        <v>48</v>
      </c>
      <c r="D26" s="6" t="s">
        <v>15</v>
      </c>
      <c r="E26" s="6" t="s">
        <v>29</v>
      </c>
      <c r="F26" s="6" t="s">
        <v>35</v>
      </c>
      <c r="G26" s="6" t="s">
        <v>51</v>
      </c>
      <c r="H26" s="7" t="n">
        <v>556.13</v>
      </c>
      <c r="I26" s="7" t="n">
        <v>706.95</v>
      </c>
      <c r="J26" s="7" t="n">
        <f aca="false">I26-H26</f>
        <v>150.82</v>
      </c>
      <c r="K26" s="8" t="n">
        <f aca="false">IFERROR((I26-H26)/H26,0)</f>
        <v>0.271195583766386</v>
      </c>
      <c r="L26" s="6" t="str">
        <f aca="false">IF(J26&gt;0,"Over Budget",IF(J26&lt;0,"Under Budget","On Budget"))</f>
        <v>Over Budget</v>
      </c>
    </row>
    <row r="27" customFormat="false" ht="15" hidden="false" customHeight="false" outlineLevel="0" collapsed="false">
      <c r="A27" s="3" t="n">
        <v>25</v>
      </c>
      <c r="B27" s="3" t="s">
        <v>47</v>
      </c>
      <c r="C27" s="3" t="s">
        <v>48</v>
      </c>
      <c r="D27" s="3" t="s">
        <v>15</v>
      </c>
      <c r="E27" s="3" t="s">
        <v>31</v>
      </c>
      <c r="F27" s="3" t="s">
        <v>32</v>
      </c>
      <c r="G27" s="3" t="s">
        <v>52</v>
      </c>
      <c r="H27" s="4" t="n">
        <v>2718.47</v>
      </c>
      <c r="I27" s="4" t="n">
        <v>2164.93</v>
      </c>
      <c r="J27" s="4" t="n">
        <f aca="false">I27-H27</f>
        <v>-553.54</v>
      </c>
      <c r="K27" s="5" t="n">
        <f aca="false">IFERROR((I27-H27)/H27,0)</f>
        <v>-0.203621890254445</v>
      </c>
      <c r="L27" s="3" t="str">
        <f aca="false">IF(J27&gt;0,"Over Budget",IF(J27&lt;0,"Under Budget","On Budget"))</f>
        <v>Under Budget</v>
      </c>
    </row>
    <row r="28" customFormat="false" ht="15" hidden="false" customHeight="false" outlineLevel="0" collapsed="false">
      <c r="A28" s="6" t="n">
        <v>26</v>
      </c>
      <c r="B28" s="6" t="s">
        <v>47</v>
      </c>
      <c r="C28" s="6" t="s">
        <v>48</v>
      </c>
      <c r="D28" s="6" t="s">
        <v>15</v>
      </c>
      <c r="E28" s="6" t="s">
        <v>34</v>
      </c>
      <c r="F28" s="6" t="s">
        <v>24</v>
      </c>
      <c r="G28" s="6" t="s">
        <v>53</v>
      </c>
      <c r="H28" s="7" t="n">
        <v>1100.68</v>
      </c>
      <c r="I28" s="7" t="n">
        <v>1293.46</v>
      </c>
      <c r="J28" s="7" t="n">
        <f aca="false">I28-H28</f>
        <v>192.78</v>
      </c>
      <c r="K28" s="8" t="n">
        <f aca="false">IFERROR((I28-H28)/H28,0)</f>
        <v>0.175146273212923</v>
      </c>
      <c r="L28" s="6" t="str">
        <f aca="false">IF(J28&gt;0,"Over Budget",IF(J28&lt;0,"Under Budget","On Budget"))</f>
        <v>Over Budget</v>
      </c>
    </row>
    <row r="29" customFormat="false" ht="15" hidden="false" customHeight="false" outlineLevel="0" collapsed="false">
      <c r="A29" s="3" t="n">
        <v>27</v>
      </c>
      <c r="B29" s="3" t="s">
        <v>47</v>
      </c>
      <c r="C29" s="3" t="s">
        <v>48</v>
      </c>
      <c r="D29" s="3" t="s">
        <v>15</v>
      </c>
      <c r="E29" s="3" t="s">
        <v>37</v>
      </c>
      <c r="F29" s="3" t="s">
        <v>27</v>
      </c>
      <c r="G29" s="3" t="s">
        <v>46</v>
      </c>
      <c r="H29" s="4" t="n">
        <v>423.79</v>
      </c>
      <c r="I29" s="4" t="n">
        <v>351.17</v>
      </c>
      <c r="J29" s="4" t="n">
        <f aca="false">I29-H29</f>
        <v>-72.62</v>
      </c>
      <c r="K29" s="5" t="n">
        <f aca="false">IFERROR((I29-H29)/H29,0)</f>
        <v>-0.171358455838977</v>
      </c>
      <c r="L29" s="3" t="str">
        <f aca="false">IF(J29&gt;0,"Over Budget",IF(J29&lt;0,"Under Budget","On Budget"))</f>
        <v>Under Budget</v>
      </c>
    </row>
    <row r="30" customFormat="false" ht="15" hidden="false" customHeight="false" outlineLevel="0" collapsed="false">
      <c r="A30" s="6" t="n">
        <v>28</v>
      </c>
      <c r="B30" s="6" t="s">
        <v>54</v>
      </c>
      <c r="C30" s="6" t="s">
        <v>55</v>
      </c>
      <c r="D30" s="6" t="s">
        <v>56</v>
      </c>
      <c r="E30" s="6" t="s">
        <v>16</v>
      </c>
      <c r="F30" s="6" t="s">
        <v>17</v>
      </c>
      <c r="G30" s="6" t="s">
        <v>41</v>
      </c>
      <c r="H30" s="7" t="n">
        <v>12044.85</v>
      </c>
      <c r="I30" s="7" t="n">
        <v>14943.17</v>
      </c>
      <c r="J30" s="7" t="n">
        <f aca="false">I30-H30</f>
        <v>2898.32</v>
      </c>
      <c r="K30" s="8" t="n">
        <f aca="false">IFERROR((I30-H30)/H30,0)</f>
        <v>0.240627322050503</v>
      </c>
      <c r="L30" s="6" t="str">
        <f aca="false">IF(J30&gt;0,"Over Budget",IF(J30&lt;0,"Under Budget","On Budget"))</f>
        <v>Over Budget</v>
      </c>
    </row>
    <row r="31" customFormat="false" ht="15" hidden="false" customHeight="false" outlineLevel="0" collapsed="false">
      <c r="A31" s="3" t="n">
        <v>29</v>
      </c>
      <c r="B31" s="3" t="s">
        <v>54</v>
      </c>
      <c r="C31" s="3" t="s">
        <v>55</v>
      </c>
      <c r="D31" s="3" t="s">
        <v>56</v>
      </c>
      <c r="E31" s="3" t="s">
        <v>19</v>
      </c>
      <c r="F31" s="3" t="s">
        <v>35</v>
      </c>
      <c r="G31" s="3" t="s">
        <v>50</v>
      </c>
      <c r="H31" s="4" t="n">
        <v>4418.49</v>
      </c>
      <c r="I31" s="4" t="n">
        <v>3854.6</v>
      </c>
      <c r="J31" s="4" t="n">
        <f aca="false">I31-H31</f>
        <v>-563.89</v>
      </c>
      <c r="K31" s="5" t="n">
        <f aca="false">IFERROR((I31-H31)/H31,0)</f>
        <v>-0.127620521943017</v>
      </c>
      <c r="L31" s="3" t="str">
        <f aca="false">IF(J31&gt;0,"Over Budget",IF(J31&lt;0,"Under Budget","On Budget"))</f>
        <v>Under Budget</v>
      </c>
    </row>
    <row r="32" customFormat="false" ht="15" hidden="false" customHeight="false" outlineLevel="0" collapsed="false">
      <c r="A32" s="6" t="n">
        <v>30</v>
      </c>
      <c r="B32" s="6" t="s">
        <v>54</v>
      </c>
      <c r="C32" s="6" t="s">
        <v>55</v>
      </c>
      <c r="D32" s="6" t="s">
        <v>56</v>
      </c>
      <c r="E32" s="6" t="s">
        <v>21</v>
      </c>
      <c r="F32" s="6" t="s">
        <v>24</v>
      </c>
      <c r="G32" s="6" t="s">
        <v>57</v>
      </c>
      <c r="H32" s="7" t="n">
        <v>3221.06</v>
      </c>
      <c r="I32" s="7" t="n">
        <v>2675.83</v>
      </c>
      <c r="J32" s="7" t="n">
        <f aca="false">I32-H32</f>
        <v>-545.23</v>
      </c>
      <c r="K32" s="8" t="n">
        <f aca="false">IFERROR((I32-H32)/H32,0)</f>
        <v>-0.169270364414199</v>
      </c>
      <c r="L32" s="6" t="str">
        <f aca="false">IF(J32&gt;0,"Over Budget",IF(J32&lt;0,"Under Budget","On Budget"))</f>
        <v>Under Budget</v>
      </c>
    </row>
    <row r="33" customFormat="false" ht="15" hidden="false" customHeight="false" outlineLevel="0" collapsed="false">
      <c r="A33" s="3" t="n">
        <v>31</v>
      </c>
      <c r="B33" s="3" t="s">
        <v>54</v>
      </c>
      <c r="C33" s="3" t="s">
        <v>55</v>
      </c>
      <c r="D33" s="3" t="s">
        <v>56</v>
      </c>
      <c r="E33" s="3" t="s">
        <v>17</v>
      </c>
      <c r="F33" s="3" t="s">
        <v>24</v>
      </c>
      <c r="G33" s="3" t="s">
        <v>58</v>
      </c>
      <c r="H33" s="4" t="n">
        <v>5134.03</v>
      </c>
      <c r="I33" s="4" t="n">
        <v>4003</v>
      </c>
      <c r="J33" s="4" t="n">
        <f aca="false">I33-H33</f>
        <v>-1131.03</v>
      </c>
      <c r="K33" s="5" t="n">
        <f aca="false">IFERROR((I33-H33)/H33,0)</f>
        <v>-0.220300621539025</v>
      </c>
      <c r="L33" s="3" t="str">
        <f aca="false">IF(J33&gt;0,"Over Budget",IF(J33&lt;0,"Under Budget","On Budget"))</f>
        <v>Under Budget</v>
      </c>
    </row>
    <row r="34" customFormat="false" ht="15" hidden="false" customHeight="false" outlineLevel="0" collapsed="false">
      <c r="A34" s="6" t="n">
        <v>32</v>
      </c>
      <c r="B34" s="6" t="s">
        <v>54</v>
      </c>
      <c r="C34" s="6" t="s">
        <v>55</v>
      </c>
      <c r="D34" s="6" t="s">
        <v>56</v>
      </c>
      <c r="E34" s="6" t="s">
        <v>26</v>
      </c>
      <c r="F34" s="6" t="s">
        <v>22</v>
      </c>
      <c r="G34" s="6" t="s">
        <v>44</v>
      </c>
      <c r="H34" s="7" t="n">
        <v>1773.58</v>
      </c>
      <c r="I34" s="7" t="n">
        <v>1399.22</v>
      </c>
      <c r="J34" s="7" t="n">
        <f aca="false">I34-H34</f>
        <v>-374.36</v>
      </c>
      <c r="K34" s="8" t="n">
        <f aca="false">IFERROR((I34-H34)/H34,0)</f>
        <v>-0.211075902975902</v>
      </c>
      <c r="L34" s="6" t="str">
        <f aca="false">IF(J34&gt;0,"Over Budget",IF(J34&lt;0,"Under Budget","On Budget"))</f>
        <v>Under Budget</v>
      </c>
    </row>
    <row r="35" customFormat="false" ht="15" hidden="false" customHeight="false" outlineLevel="0" collapsed="false">
      <c r="A35" s="3" t="n">
        <v>33</v>
      </c>
      <c r="B35" s="3" t="s">
        <v>54</v>
      </c>
      <c r="C35" s="3" t="s">
        <v>55</v>
      </c>
      <c r="D35" s="3" t="s">
        <v>56</v>
      </c>
      <c r="E35" s="3" t="s">
        <v>29</v>
      </c>
      <c r="F35" s="3" t="s">
        <v>17</v>
      </c>
      <c r="G35" s="3" t="s">
        <v>59</v>
      </c>
      <c r="H35" s="4" t="n">
        <v>676.08</v>
      </c>
      <c r="I35" s="4" t="n">
        <v>799.07</v>
      </c>
      <c r="J35" s="4" t="n">
        <f aca="false">I35-H35</f>
        <v>122.99</v>
      </c>
      <c r="K35" s="5" t="n">
        <f aca="false">IFERROR((I35-H35)/H35,0)</f>
        <v>0.181916341261389</v>
      </c>
      <c r="L35" s="3" t="str">
        <f aca="false">IF(J35&gt;0,"Over Budget",IF(J35&lt;0,"Under Budget","On Budget"))</f>
        <v>Over Budget</v>
      </c>
    </row>
    <row r="36" customFormat="false" ht="15" hidden="false" customHeight="false" outlineLevel="0" collapsed="false">
      <c r="A36" s="6" t="n">
        <v>34</v>
      </c>
      <c r="B36" s="6" t="s">
        <v>54</v>
      </c>
      <c r="C36" s="6" t="s">
        <v>55</v>
      </c>
      <c r="D36" s="6" t="s">
        <v>56</v>
      </c>
      <c r="E36" s="6" t="s">
        <v>31</v>
      </c>
      <c r="F36" s="6" t="s">
        <v>35</v>
      </c>
      <c r="G36" s="6" t="s">
        <v>60</v>
      </c>
      <c r="H36" s="7" t="n">
        <v>4403.78</v>
      </c>
      <c r="I36" s="7" t="n">
        <v>4111.86</v>
      </c>
      <c r="J36" s="7" t="n">
        <f aca="false">I36-H36</f>
        <v>-291.92</v>
      </c>
      <c r="K36" s="8" t="n">
        <f aca="false">IFERROR((I36-H36)/H36,0)</f>
        <v>-0.0662885066919783</v>
      </c>
      <c r="L36" s="6" t="str">
        <f aca="false">IF(J36&gt;0,"Over Budget",IF(J36&lt;0,"Under Budget","On Budget"))</f>
        <v>Under Budget</v>
      </c>
    </row>
    <row r="37" customFormat="false" ht="15" hidden="false" customHeight="false" outlineLevel="0" collapsed="false">
      <c r="A37" s="3" t="n">
        <v>35</v>
      </c>
      <c r="B37" s="3" t="s">
        <v>54</v>
      </c>
      <c r="C37" s="3" t="s">
        <v>55</v>
      </c>
      <c r="D37" s="3" t="s">
        <v>56</v>
      </c>
      <c r="E37" s="3" t="s">
        <v>34</v>
      </c>
      <c r="F37" s="3" t="s">
        <v>17</v>
      </c>
      <c r="G37" s="3" t="s">
        <v>45</v>
      </c>
      <c r="H37" s="4" t="n">
        <v>970.36</v>
      </c>
      <c r="I37" s="4" t="n">
        <v>887.38</v>
      </c>
      <c r="J37" s="4" t="n">
        <f aca="false">I37-H37</f>
        <v>-82.98</v>
      </c>
      <c r="K37" s="5" t="n">
        <f aca="false">IFERROR((I37-H37)/H37,0)</f>
        <v>-0.0855146543550847</v>
      </c>
      <c r="L37" s="3" t="str">
        <f aca="false">IF(J37&gt;0,"Over Budget",IF(J37&lt;0,"Under Budget","On Budget"))</f>
        <v>Under Budget</v>
      </c>
    </row>
    <row r="38" customFormat="false" ht="15" hidden="false" customHeight="false" outlineLevel="0" collapsed="false">
      <c r="A38" s="6" t="n">
        <v>36</v>
      </c>
      <c r="B38" s="6" t="s">
        <v>54</v>
      </c>
      <c r="C38" s="6" t="s">
        <v>55</v>
      </c>
      <c r="D38" s="6" t="s">
        <v>56</v>
      </c>
      <c r="E38" s="6" t="s">
        <v>37</v>
      </c>
      <c r="F38" s="6" t="s">
        <v>32</v>
      </c>
      <c r="G38" s="6" t="s">
        <v>61</v>
      </c>
      <c r="H38" s="7" t="n">
        <v>419.88</v>
      </c>
      <c r="I38" s="7" t="n">
        <v>343.05</v>
      </c>
      <c r="J38" s="7" t="n">
        <f aca="false">I38-H38</f>
        <v>-76.83</v>
      </c>
      <c r="K38" s="8" t="n">
        <f aca="false">IFERROR((I38-H38)/H38,0)</f>
        <v>-0.182980851671906</v>
      </c>
      <c r="L38" s="6" t="str">
        <f aca="false">IF(J38&gt;0,"Over Budget",IF(J38&lt;0,"Under Budget","On Budget"))</f>
        <v>Under Budget</v>
      </c>
    </row>
    <row r="39" customFormat="false" ht="15" hidden="false" customHeight="false" outlineLevel="0" collapsed="false">
      <c r="A39" s="3" t="n">
        <v>37</v>
      </c>
      <c r="B39" s="3" t="s">
        <v>62</v>
      </c>
      <c r="C39" s="3" t="s">
        <v>63</v>
      </c>
      <c r="D39" s="3" t="s">
        <v>56</v>
      </c>
      <c r="E39" s="3" t="s">
        <v>16</v>
      </c>
      <c r="F39" s="3" t="s">
        <v>24</v>
      </c>
      <c r="G39" s="3" t="s">
        <v>49</v>
      </c>
      <c r="H39" s="4" t="n">
        <v>9105.17</v>
      </c>
      <c r="I39" s="4" t="n">
        <v>8152.23</v>
      </c>
      <c r="J39" s="4" t="n">
        <f aca="false">I39-H39</f>
        <v>-952.940000000001</v>
      </c>
      <c r="K39" s="5" t="n">
        <f aca="false">IFERROR((I39-H39)/H39,0)</f>
        <v>-0.104659221079892</v>
      </c>
      <c r="L39" s="3" t="str">
        <f aca="false">IF(J39&gt;0,"Over Budget",IF(J39&lt;0,"Under Budget","On Budget"))</f>
        <v>Under Budget</v>
      </c>
    </row>
    <row r="40" customFormat="false" ht="15" hidden="false" customHeight="false" outlineLevel="0" collapsed="false">
      <c r="A40" s="6" t="n">
        <v>38</v>
      </c>
      <c r="B40" s="6" t="s">
        <v>62</v>
      </c>
      <c r="C40" s="6" t="s">
        <v>63</v>
      </c>
      <c r="D40" s="6" t="s">
        <v>56</v>
      </c>
      <c r="E40" s="6" t="s">
        <v>19</v>
      </c>
      <c r="F40" s="6" t="s">
        <v>24</v>
      </c>
      <c r="G40" s="6" t="s">
        <v>20</v>
      </c>
      <c r="H40" s="7" t="n">
        <v>4207.84</v>
      </c>
      <c r="I40" s="7" t="n">
        <v>4489.13</v>
      </c>
      <c r="J40" s="7" t="n">
        <f aca="false">I40-H40</f>
        <v>281.29</v>
      </c>
      <c r="K40" s="8" t="n">
        <f aca="false">IFERROR((I40-H40)/H40,0)</f>
        <v>0.0668490246777444</v>
      </c>
      <c r="L40" s="6" t="str">
        <f aca="false">IF(J40&gt;0,"Over Budget",IF(J40&lt;0,"Under Budget","On Budget"))</f>
        <v>Over Budget</v>
      </c>
    </row>
    <row r="41" customFormat="false" ht="15" hidden="false" customHeight="false" outlineLevel="0" collapsed="false">
      <c r="A41" s="3" t="n">
        <v>39</v>
      </c>
      <c r="B41" s="3" t="s">
        <v>62</v>
      </c>
      <c r="C41" s="3" t="s">
        <v>63</v>
      </c>
      <c r="D41" s="3" t="s">
        <v>56</v>
      </c>
      <c r="E41" s="3" t="s">
        <v>21</v>
      </c>
      <c r="F41" s="3" t="s">
        <v>24</v>
      </c>
      <c r="G41" s="3" t="s">
        <v>57</v>
      </c>
      <c r="H41" s="4" t="n">
        <v>1362.97</v>
      </c>
      <c r="I41" s="4" t="n">
        <v>1659.07</v>
      </c>
      <c r="J41" s="4" t="n">
        <f aca="false">I41-H41</f>
        <v>296.1</v>
      </c>
      <c r="K41" s="5" t="n">
        <f aca="false">IFERROR((I41-H41)/H41,0)</f>
        <v>0.217246160957321</v>
      </c>
      <c r="L41" s="3" t="str">
        <f aca="false">IF(J41&gt;0,"Over Budget",IF(J41&lt;0,"Under Budget","On Budget"))</f>
        <v>Over Budget</v>
      </c>
    </row>
    <row r="42" customFormat="false" ht="15" hidden="false" customHeight="false" outlineLevel="0" collapsed="false">
      <c r="A42" s="6" t="n">
        <v>40</v>
      </c>
      <c r="B42" s="6" t="s">
        <v>62</v>
      </c>
      <c r="C42" s="6" t="s">
        <v>63</v>
      </c>
      <c r="D42" s="6" t="s">
        <v>56</v>
      </c>
      <c r="E42" s="6" t="s">
        <v>17</v>
      </c>
      <c r="F42" s="6" t="s">
        <v>27</v>
      </c>
      <c r="G42" s="6" t="s">
        <v>25</v>
      </c>
      <c r="H42" s="7" t="n">
        <v>2896.94</v>
      </c>
      <c r="I42" s="7" t="n">
        <v>2582.16</v>
      </c>
      <c r="J42" s="7" t="n">
        <f aca="false">I42-H42</f>
        <v>-314.78</v>
      </c>
      <c r="K42" s="8" t="n">
        <f aca="false">IFERROR((I42-H42)/H42,0)</f>
        <v>-0.108659482074189</v>
      </c>
      <c r="L42" s="6" t="str">
        <f aca="false">IF(J42&gt;0,"Over Budget",IF(J42&lt;0,"Under Budget","On Budget"))</f>
        <v>Under Budget</v>
      </c>
    </row>
    <row r="43" customFormat="false" ht="15" hidden="false" customHeight="false" outlineLevel="0" collapsed="false">
      <c r="A43" s="3" t="n">
        <v>41</v>
      </c>
      <c r="B43" s="3" t="s">
        <v>62</v>
      </c>
      <c r="C43" s="3" t="s">
        <v>63</v>
      </c>
      <c r="D43" s="3" t="s">
        <v>56</v>
      </c>
      <c r="E43" s="3" t="s">
        <v>26</v>
      </c>
      <c r="F43" s="3" t="s">
        <v>22</v>
      </c>
      <c r="G43" s="3" t="s">
        <v>44</v>
      </c>
      <c r="H43" s="4" t="n">
        <v>1541.54</v>
      </c>
      <c r="I43" s="4" t="n">
        <v>1239.08</v>
      </c>
      <c r="J43" s="4" t="n">
        <f aca="false">I43-H43</f>
        <v>-302.46</v>
      </c>
      <c r="K43" s="5" t="n">
        <f aca="false">IFERROR((I43-H43)/H43,0)</f>
        <v>-0.196206391011586</v>
      </c>
      <c r="L43" s="3" t="str">
        <f aca="false">IF(J43&gt;0,"Over Budget",IF(J43&lt;0,"Under Budget","On Budget"))</f>
        <v>Under Budget</v>
      </c>
    </row>
    <row r="44" customFormat="false" ht="15" hidden="false" customHeight="false" outlineLevel="0" collapsed="false">
      <c r="A44" s="6" t="n">
        <v>42</v>
      </c>
      <c r="B44" s="6" t="s">
        <v>62</v>
      </c>
      <c r="C44" s="6" t="s">
        <v>63</v>
      </c>
      <c r="D44" s="6" t="s">
        <v>56</v>
      </c>
      <c r="E44" s="6" t="s">
        <v>29</v>
      </c>
      <c r="F44" s="6" t="s">
        <v>24</v>
      </c>
      <c r="G44" s="6" t="s">
        <v>30</v>
      </c>
      <c r="H44" s="7" t="n">
        <v>443.97</v>
      </c>
      <c r="I44" s="7" t="n">
        <v>385.11</v>
      </c>
      <c r="J44" s="7" t="n">
        <f aca="false">I44-H44</f>
        <v>-58.86</v>
      </c>
      <c r="K44" s="8" t="n">
        <f aca="false">IFERROR((I44-H44)/H44,0)</f>
        <v>-0.132576525440908</v>
      </c>
      <c r="L44" s="6" t="str">
        <f aca="false">IF(J44&gt;0,"Over Budget",IF(J44&lt;0,"Under Budget","On Budget"))</f>
        <v>Under Budget</v>
      </c>
    </row>
    <row r="45" customFormat="false" ht="15" hidden="false" customHeight="false" outlineLevel="0" collapsed="false">
      <c r="A45" s="3" t="n">
        <v>43</v>
      </c>
      <c r="B45" s="3" t="s">
        <v>62</v>
      </c>
      <c r="C45" s="3" t="s">
        <v>63</v>
      </c>
      <c r="D45" s="3" t="s">
        <v>56</v>
      </c>
      <c r="E45" s="3" t="s">
        <v>31</v>
      </c>
      <c r="F45" s="3" t="s">
        <v>17</v>
      </c>
      <c r="G45" s="3" t="s">
        <v>33</v>
      </c>
      <c r="H45" s="4" t="n">
        <v>3618.08</v>
      </c>
      <c r="I45" s="4" t="n">
        <v>2831.64</v>
      </c>
      <c r="J45" s="4" t="n">
        <f aca="false">I45-H45</f>
        <v>-786.44</v>
      </c>
      <c r="K45" s="5" t="n">
        <f aca="false">IFERROR((I45-H45)/H45,0)</f>
        <v>-0.21736390571795</v>
      </c>
      <c r="L45" s="3" t="str">
        <f aca="false">IF(J45&gt;0,"Over Budget",IF(J45&lt;0,"Under Budget","On Budget"))</f>
        <v>Under Budget</v>
      </c>
    </row>
    <row r="46" customFormat="false" ht="15" hidden="false" customHeight="false" outlineLevel="0" collapsed="false">
      <c r="A46" s="6" t="n">
        <v>44</v>
      </c>
      <c r="B46" s="6" t="s">
        <v>62</v>
      </c>
      <c r="C46" s="6" t="s">
        <v>63</v>
      </c>
      <c r="D46" s="6" t="s">
        <v>56</v>
      </c>
      <c r="E46" s="6" t="s">
        <v>34</v>
      </c>
      <c r="F46" s="6" t="s">
        <v>22</v>
      </c>
      <c r="G46" s="6" t="s">
        <v>53</v>
      </c>
      <c r="H46" s="7" t="n">
        <v>671.44</v>
      </c>
      <c r="I46" s="7" t="n">
        <v>548.69</v>
      </c>
      <c r="J46" s="7" t="n">
        <f aca="false">I46-H46</f>
        <v>-122.75</v>
      </c>
      <c r="K46" s="8" t="n">
        <f aca="false">IFERROR((I46-H46)/H46,0)</f>
        <v>-0.182816037173835</v>
      </c>
      <c r="L46" s="6" t="str">
        <f aca="false">IF(J46&gt;0,"Over Budget",IF(J46&lt;0,"Under Budget","On Budget"))</f>
        <v>Under Budget</v>
      </c>
    </row>
    <row r="47" customFormat="false" ht="15" hidden="false" customHeight="false" outlineLevel="0" collapsed="false">
      <c r="A47" s="3" t="n">
        <v>45</v>
      </c>
      <c r="B47" s="3" t="s">
        <v>62</v>
      </c>
      <c r="C47" s="3" t="s">
        <v>63</v>
      </c>
      <c r="D47" s="3" t="s">
        <v>56</v>
      </c>
      <c r="E47" s="3" t="s">
        <v>37</v>
      </c>
      <c r="F47" s="3" t="s">
        <v>27</v>
      </c>
      <c r="G47" s="3" t="s">
        <v>46</v>
      </c>
      <c r="H47" s="4" t="n">
        <v>284.58</v>
      </c>
      <c r="I47" s="4" t="n">
        <v>234.51</v>
      </c>
      <c r="J47" s="4" t="n">
        <f aca="false">I47-H47</f>
        <v>-50.07</v>
      </c>
      <c r="K47" s="5" t="n">
        <f aca="false">IFERROR((I47-H47)/H47,0)</f>
        <v>-0.175943495677841</v>
      </c>
      <c r="L47" s="3" t="str">
        <f aca="false">IF(J47&gt;0,"Over Budget",IF(J47&lt;0,"Under Budget","On Budget"))</f>
        <v>Under Budget</v>
      </c>
    </row>
    <row r="48" customFormat="false" ht="15" hidden="false" customHeight="false" outlineLevel="0" collapsed="false">
      <c r="A48" s="6" t="n">
        <v>46</v>
      </c>
      <c r="B48" s="6" t="s">
        <v>64</v>
      </c>
      <c r="C48" s="6" t="s">
        <v>65</v>
      </c>
      <c r="D48" s="6" t="s">
        <v>56</v>
      </c>
      <c r="E48" s="6" t="s">
        <v>16</v>
      </c>
      <c r="F48" s="6" t="s">
        <v>27</v>
      </c>
      <c r="G48" s="6" t="s">
        <v>18</v>
      </c>
      <c r="H48" s="7" t="n">
        <v>11215.65</v>
      </c>
      <c r="I48" s="7" t="n">
        <v>9943.51</v>
      </c>
      <c r="J48" s="7" t="n">
        <f aca="false">I48-H48</f>
        <v>-1272.14</v>
      </c>
      <c r="K48" s="8" t="n">
        <f aca="false">IFERROR((I48-H48)/H48,0)</f>
        <v>-0.113425436778073</v>
      </c>
      <c r="L48" s="6" t="str">
        <f aca="false">IF(J48&gt;0,"Over Budget",IF(J48&lt;0,"Under Budget","On Budget"))</f>
        <v>Under Budget</v>
      </c>
    </row>
    <row r="49" customFormat="false" ht="15" hidden="false" customHeight="false" outlineLevel="0" collapsed="false">
      <c r="A49" s="3" t="n">
        <v>47</v>
      </c>
      <c r="B49" s="3" t="s">
        <v>64</v>
      </c>
      <c r="C49" s="3" t="s">
        <v>65</v>
      </c>
      <c r="D49" s="3" t="s">
        <v>56</v>
      </c>
      <c r="E49" s="3" t="s">
        <v>19</v>
      </c>
      <c r="F49" s="3" t="s">
        <v>24</v>
      </c>
      <c r="G49" s="3" t="s">
        <v>50</v>
      </c>
      <c r="H49" s="4" t="n">
        <v>4499.28</v>
      </c>
      <c r="I49" s="4" t="n">
        <v>4422.2</v>
      </c>
      <c r="J49" s="4" t="n">
        <f aca="false">I49-H49</f>
        <v>-77.0799999999999</v>
      </c>
      <c r="K49" s="5" t="n">
        <f aca="false">IFERROR((I49-H49)/H49,0)</f>
        <v>-0.0171316299496808</v>
      </c>
      <c r="L49" s="3" t="str">
        <f aca="false">IF(J49&gt;0,"Over Budget",IF(J49&lt;0,"Under Budget","On Budget"))</f>
        <v>Under Budget</v>
      </c>
    </row>
    <row r="50" customFormat="false" ht="15" hidden="false" customHeight="false" outlineLevel="0" collapsed="false">
      <c r="A50" s="6" t="n">
        <v>48</v>
      </c>
      <c r="B50" s="6" t="s">
        <v>64</v>
      </c>
      <c r="C50" s="6" t="s">
        <v>65</v>
      </c>
      <c r="D50" s="6" t="s">
        <v>56</v>
      </c>
      <c r="E50" s="6" t="s">
        <v>21</v>
      </c>
      <c r="F50" s="6" t="s">
        <v>27</v>
      </c>
      <c r="G50" s="6" t="s">
        <v>23</v>
      </c>
      <c r="H50" s="7" t="n">
        <v>2134.75</v>
      </c>
      <c r="I50" s="7" t="n">
        <v>2046.95</v>
      </c>
      <c r="J50" s="7" t="n">
        <f aca="false">I50-H50</f>
        <v>-87.8</v>
      </c>
      <c r="K50" s="8" t="n">
        <f aca="false">IFERROR((I50-H50)/H50,0)</f>
        <v>-0.0411289378147324</v>
      </c>
      <c r="L50" s="6" t="str">
        <f aca="false">IF(J50&gt;0,"Over Budget",IF(J50&lt;0,"Under Budget","On Budget"))</f>
        <v>Under Budget</v>
      </c>
    </row>
    <row r="51" customFormat="false" ht="15" hidden="false" customHeight="false" outlineLevel="0" collapsed="false">
      <c r="A51" s="3" t="n">
        <v>49</v>
      </c>
      <c r="B51" s="3" t="s">
        <v>64</v>
      </c>
      <c r="C51" s="3" t="s">
        <v>65</v>
      </c>
      <c r="D51" s="3" t="s">
        <v>56</v>
      </c>
      <c r="E51" s="3" t="s">
        <v>17</v>
      </c>
      <c r="F51" s="3" t="s">
        <v>24</v>
      </c>
      <c r="G51" s="3" t="s">
        <v>58</v>
      </c>
      <c r="H51" s="4" t="n">
        <v>3636.92</v>
      </c>
      <c r="I51" s="4" t="n">
        <v>2985.9</v>
      </c>
      <c r="J51" s="4" t="n">
        <f aca="false">I51-H51</f>
        <v>-651.02</v>
      </c>
      <c r="K51" s="5" t="n">
        <f aca="false">IFERROR((I51-H51)/H51,0)</f>
        <v>-0.179003112523784</v>
      </c>
      <c r="L51" s="3" t="str">
        <f aca="false">IF(J51&gt;0,"Over Budget",IF(J51&lt;0,"Under Budget","On Budget"))</f>
        <v>Under Budget</v>
      </c>
    </row>
    <row r="52" customFormat="false" ht="15" hidden="false" customHeight="false" outlineLevel="0" collapsed="false">
      <c r="A52" s="6" t="n">
        <v>50</v>
      </c>
      <c r="B52" s="6" t="s">
        <v>64</v>
      </c>
      <c r="C52" s="6" t="s">
        <v>65</v>
      </c>
      <c r="D52" s="6" t="s">
        <v>56</v>
      </c>
      <c r="E52" s="6" t="s">
        <v>26</v>
      </c>
      <c r="F52" s="6" t="s">
        <v>22</v>
      </c>
      <c r="G52" s="6" t="s">
        <v>28</v>
      </c>
      <c r="H52" s="7" t="n">
        <v>1107.61</v>
      </c>
      <c r="I52" s="7" t="n">
        <v>1095.37</v>
      </c>
      <c r="J52" s="7" t="n">
        <f aca="false">I52-H52</f>
        <v>-12.24</v>
      </c>
      <c r="K52" s="8" t="n">
        <f aca="false">IFERROR((I52-H52)/H52,0)</f>
        <v>-0.011050821137404</v>
      </c>
      <c r="L52" s="6" t="str">
        <f aca="false">IF(J52&gt;0,"Over Budget",IF(J52&lt;0,"Under Budget","On Budget"))</f>
        <v>Under Budget</v>
      </c>
    </row>
    <row r="53" customFormat="false" ht="15" hidden="false" customHeight="false" outlineLevel="0" collapsed="false">
      <c r="A53" s="3" t="n">
        <v>51</v>
      </c>
      <c r="B53" s="3" t="s">
        <v>64</v>
      </c>
      <c r="C53" s="3" t="s">
        <v>65</v>
      </c>
      <c r="D53" s="3" t="s">
        <v>56</v>
      </c>
      <c r="E53" s="3" t="s">
        <v>29</v>
      </c>
      <c r="F53" s="3" t="s">
        <v>35</v>
      </c>
      <c r="G53" s="3" t="s">
        <v>30</v>
      </c>
      <c r="H53" s="4" t="n">
        <v>573.28</v>
      </c>
      <c r="I53" s="4" t="n">
        <v>644.47</v>
      </c>
      <c r="J53" s="4" t="n">
        <f aca="false">I53-H53</f>
        <v>71.1900000000001</v>
      </c>
      <c r="K53" s="5" t="n">
        <f aca="false">IFERROR((I53-H53)/H53,0)</f>
        <v>0.124180156293609</v>
      </c>
      <c r="L53" s="3" t="str">
        <f aca="false">IF(J53&gt;0,"Over Budget",IF(J53&lt;0,"Under Budget","On Budget"))</f>
        <v>Over Budget</v>
      </c>
    </row>
    <row r="54" customFormat="false" ht="15" hidden="false" customHeight="false" outlineLevel="0" collapsed="false">
      <c r="A54" s="6" t="n">
        <v>52</v>
      </c>
      <c r="B54" s="6" t="s">
        <v>64</v>
      </c>
      <c r="C54" s="6" t="s">
        <v>65</v>
      </c>
      <c r="D54" s="6" t="s">
        <v>56</v>
      </c>
      <c r="E54" s="6" t="s">
        <v>31</v>
      </c>
      <c r="F54" s="6" t="s">
        <v>24</v>
      </c>
      <c r="G54" s="6" t="s">
        <v>52</v>
      </c>
      <c r="H54" s="7" t="n">
        <v>3786.49</v>
      </c>
      <c r="I54" s="7" t="n">
        <v>4272.68</v>
      </c>
      <c r="J54" s="7" t="n">
        <f aca="false">I54-H54</f>
        <v>486.190000000001</v>
      </c>
      <c r="K54" s="8" t="n">
        <f aca="false">IFERROR((I54-H54)/H54,0)</f>
        <v>0.128401237029545</v>
      </c>
      <c r="L54" s="6" t="str">
        <f aca="false">IF(J54&gt;0,"Over Budget",IF(J54&lt;0,"Under Budget","On Budget"))</f>
        <v>Over Budget</v>
      </c>
    </row>
    <row r="55" customFormat="false" ht="15" hidden="false" customHeight="false" outlineLevel="0" collapsed="false">
      <c r="A55" s="3" t="n">
        <v>53</v>
      </c>
      <c r="B55" s="3" t="s">
        <v>64</v>
      </c>
      <c r="C55" s="3" t="s">
        <v>65</v>
      </c>
      <c r="D55" s="3" t="s">
        <v>56</v>
      </c>
      <c r="E55" s="3" t="s">
        <v>34</v>
      </c>
      <c r="F55" s="3" t="s">
        <v>24</v>
      </c>
      <c r="G55" s="3" t="s">
        <v>53</v>
      </c>
      <c r="H55" s="4" t="n">
        <v>781.43</v>
      </c>
      <c r="I55" s="4" t="n">
        <v>689.35</v>
      </c>
      <c r="J55" s="4" t="n">
        <f aca="false">I55-H55</f>
        <v>-92.0799999999999</v>
      </c>
      <c r="K55" s="5" t="n">
        <f aca="false">IFERROR((I55-H55)/H55,0)</f>
        <v>-0.117835250758225</v>
      </c>
      <c r="L55" s="3" t="str">
        <f aca="false">IF(J55&gt;0,"Over Budget",IF(J55&lt;0,"Under Budget","On Budget"))</f>
        <v>Under Budget</v>
      </c>
    </row>
    <row r="56" customFormat="false" ht="15" hidden="false" customHeight="false" outlineLevel="0" collapsed="false">
      <c r="A56" s="6" t="n">
        <v>54</v>
      </c>
      <c r="B56" s="6" t="s">
        <v>64</v>
      </c>
      <c r="C56" s="6" t="s">
        <v>65</v>
      </c>
      <c r="D56" s="6" t="s">
        <v>56</v>
      </c>
      <c r="E56" s="6" t="s">
        <v>37</v>
      </c>
      <c r="F56" s="6" t="s">
        <v>24</v>
      </c>
      <c r="G56" s="6" t="s">
        <v>46</v>
      </c>
      <c r="H56" s="7" t="n">
        <v>174.03</v>
      </c>
      <c r="I56" s="7" t="n">
        <v>208.62</v>
      </c>
      <c r="J56" s="7" t="n">
        <f aca="false">I56-H56</f>
        <v>34.59</v>
      </c>
      <c r="K56" s="8" t="n">
        <f aca="false">IFERROR((I56-H56)/H56,0)</f>
        <v>0.198758834683675</v>
      </c>
      <c r="L56" s="6" t="str">
        <f aca="false">IF(J56&gt;0,"Over Budget",IF(J56&lt;0,"Under Budget","On Budget"))</f>
        <v>Over Budget</v>
      </c>
    </row>
    <row r="57" customFormat="false" ht="15" hidden="false" customHeight="false" outlineLevel="0" collapsed="false">
      <c r="A57" s="3" t="n">
        <v>55</v>
      </c>
      <c r="B57" s="3" t="s">
        <v>66</v>
      </c>
      <c r="C57" s="3" t="s">
        <v>67</v>
      </c>
      <c r="D57" s="3" t="s">
        <v>68</v>
      </c>
      <c r="E57" s="3" t="s">
        <v>16</v>
      </c>
      <c r="F57" s="3" t="s">
        <v>17</v>
      </c>
      <c r="G57" s="3" t="s">
        <v>18</v>
      </c>
      <c r="H57" s="4" t="n">
        <v>11018.88</v>
      </c>
      <c r="I57" s="4" t="n">
        <v>9818.1</v>
      </c>
      <c r="J57" s="4" t="n">
        <f aca="false">I57-H57</f>
        <v>-1200.78</v>
      </c>
      <c r="K57" s="5" t="n">
        <f aca="false">IFERROR((I57-H57)/H57,0)</f>
        <v>-0.10897477783586</v>
      </c>
      <c r="L57" s="3" t="str">
        <f aca="false">IF(J57&gt;0,"Over Budget",IF(J57&lt;0,"Under Budget","On Budget"))</f>
        <v>Under Budget</v>
      </c>
    </row>
    <row r="58" customFormat="false" ht="15" hidden="false" customHeight="false" outlineLevel="0" collapsed="false">
      <c r="A58" s="6" t="n">
        <v>56</v>
      </c>
      <c r="B58" s="6" t="s">
        <v>66</v>
      </c>
      <c r="C58" s="6" t="s">
        <v>67</v>
      </c>
      <c r="D58" s="6" t="s">
        <v>68</v>
      </c>
      <c r="E58" s="6" t="s">
        <v>19</v>
      </c>
      <c r="F58" s="6" t="s">
        <v>35</v>
      </c>
      <c r="G58" s="6" t="s">
        <v>50</v>
      </c>
      <c r="H58" s="7" t="n">
        <v>3539.74</v>
      </c>
      <c r="I58" s="7" t="n">
        <v>4298.46</v>
      </c>
      <c r="J58" s="7" t="n">
        <f aca="false">I58-H58</f>
        <v>758.72</v>
      </c>
      <c r="K58" s="8" t="n">
        <f aca="false">IFERROR((I58-H58)/H58,0)</f>
        <v>0.214343426353348</v>
      </c>
      <c r="L58" s="6" t="str">
        <f aca="false">IF(J58&gt;0,"Over Budget",IF(J58&lt;0,"Under Budget","On Budget"))</f>
        <v>Over Budget</v>
      </c>
    </row>
    <row r="59" customFormat="false" ht="15" hidden="false" customHeight="false" outlineLevel="0" collapsed="false">
      <c r="A59" s="3" t="n">
        <v>57</v>
      </c>
      <c r="B59" s="3" t="s">
        <v>66</v>
      </c>
      <c r="C59" s="3" t="s">
        <v>67</v>
      </c>
      <c r="D59" s="3" t="s">
        <v>68</v>
      </c>
      <c r="E59" s="3" t="s">
        <v>21</v>
      </c>
      <c r="F59" s="3" t="s">
        <v>35</v>
      </c>
      <c r="G59" s="3" t="s">
        <v>42</v>
      </c>
      <c r="H59" s="4" t="n">
        <v>1927.65</v>
      </c>
      <c r="I59" s="4" t="n">
        <v>2346.78</v>
      </c>
      <c r="J59" s="4" t="n">
        <f aca="false">I59-H59</f>
        <v>419.13</v>
      </c>
      <c r="K59" s="5" t="n">
        <f aca="false">IFERROR((I59-H59)/H59,0)</f>
        <v>0.217430550151739</v>
      </c>
      <c r="L59" s="3" t="str">
        <f aca="false">IF(J59&gt;0,"Over Budget",IF(J59&lt;0,"Under Budget","On Budget"))</f>
        <v>Over Budget</v>
      </c>
    </row>
    <row r="60" customFormat="false" ht="15" hidden="false" customHeight="false" outlineLevel="0" collapsed="false">
      <c r="A60" s="6" t="n">
        <v>58</v>
      </c>
      <c r="B60" s="6" t="s">
        <v>66</v>
      </c>
      <c r="C60" s="6" t="s">
        <v>67</v>
      </c>
      <c r="D60" s="6" t="s">
        <v>68</v>
      </c>
      <c r="E60" s="6" t="s">
        <v>17</v>
      </c>
      <c r="F60" s="6" t="s">
        <v>32</v>
      </c>
      <c r="G60" s="6" t="s">
        <v>58</v>
      </c>
      <c r="H60" s="7" t="n">
        <v>3296.84</v>
      </c>
      <c r="I60" s="7" t="n">
        <v>3993.71</v>
      </c>
      <c r="J60" s="7" t="n">
        <f aca="false">I60-H60</f>
        <v>696.87</v>
      </c>
      <c r="K60" s="8" t="n">
        <f aca="false">IFERROR((I60-H60)/H60,0)</f>
        <v>0.211375134977736</v>
      </c>
      <c r="L60" s="6" t="str">
        <f aca="false">IF(J60&gt;0,"Over Budget",IF(J60&lt;0,"Under Budget","On Budget"))</f>
        <v>Over Budget</v>
      </c>
    </row>
    <row r="61" customFormat="false" ht="15" hidden="false" customHeight="false" outlineLevel="0" collapsed="false">
      <c r="A61" s="3" t="n">
        <v>59</v>
      </c>
      <c r="B61" s="3" t="s">
        <v>66</v>
      </c>
      <c r="C61" s="3" t="s">
        <v>67</v>
      </c>
      <c r="D61" s="3" t="s">
        <v>68</v>
      </c>
      <c r="E61" s="3" t="s">
        <v>26</v>
      </c>
      <c r="F61" s="3" t="s">
        <v>22</v>
      </c>
      <c r="G61" s="3" t="s">
        <v>28</v>
      </c>
      <c r="H61" s="4" t="n">
        <v>1714.82</v>
      </c>
      <c r="I61" s="4" t="n">
        <v>1306.94</v>
      </c>
      <c r="J61" s="4" t="n">
        <f aca="false">I61-H61</f>
        <v>-407.88</v>
      </c>
      <c r="K61" s="5" t="n">
        <f aca="false">IFERROR((I61-H61)/H61,0)</f>
        <v>-0.237855868254394</v>
      </c>
      <c r="L61" s="3" t="str">
        <f aca="false">IF(J61&gt;0,"Over Budget",IF(J61&lt;0,"Under Budget","On Budget"))</f>
        <v>Under Budget</v>
      </c>
    </row>
    <row r="62" customFormat="false" ht="15" hidden="false" customHeight="false" outlineLevel="0" collapsed="false">
      <c r="A62" s="6" t="n">
        <v>60</v>
      </c>
      <c r="B62" s="6" t="s">
        <v>66</v>
      </c>
      <c r="C62" s="6" t="s">
        <v>67</v>
      </c>
      <c r="D62" s="6" t="s">
        <v>68</v>
      </c>
      <c r="E62" s="6" t="s">
        <v>29</v>
      </c>
      <c r="F62" s="6" t="s">
        <v>35</v>
      </c>
      <c r="G62" s="6" t="s">
        <v>30</v>
      </c>
      <c r="H62" s="7" t="n">
        <v>698.24</v>
      </c>
      <c r="I62" s="7" t="n">
        <v>770.36</v>
      </c>
      <c r="J62" s="7" t="n">
        <f aca="false">I62-H62</f>
        <v>72.12</v>
      </c>
      <c r="K62" s="8" t="n">
        <f aca="false">IFERROR((I62-H62)/H62,0)</f>
        <v>0.103288267644363</v>
      </c>
      <c r="L62" s="6" t="str">
        <f aca="false">IF(J62&gt;0,"Over Budget",IF(J62&lt;0,"Under Budget","On Budget"))</f>
        <v>Over Budget</v>
      </c>
    </row>
    <row r="63" customFormat="false" ht="15" hidden="false" customHeight="false" outlineLevel="0" collapsed="false">
      <c r="A63" s="3" t="n">
        <v>61</v>
      </c>
      <c r="B63" s="3" t="s">
        <v>66</v>
      </c>
      <c r="C63" s="3" t="s">
        <v>67</v>
      </c>
      <c r="D63" s="3" t="s">
        <v>68</v>
      </c>
      <c r="E63" s="3" t="s">
        <v>31</v>
      </c>
      <c r="F63" s="3" t="s">
        <v>32</v>
      </c>
      <c r="G63" s="3" t="s">
        <v>33</v>
      </c>
      <c r="H63" s="4" t="n">
        <v>4319.8</v>
      </c>
      <c r="I63" s="4" t="n">
        <v>4156.65</v>
      </c>
      <c r="J63" s="4" t="n">
        <f aca="false">I63-H63</f>
        <v>-163.150000000001</v>
      </c>
      <c r="K63" s="5" t="n">
        <f aca="false">IFERROR((I63-H63)/H63,0)</f>
        <v>-0.0377679522200103</v>
      </c>
      <c r="L63" s="3" t="str">
        <f aca="false">IF(J63&gt;0,"Over Budget",IF(J63&lt;0,"Under Budget","On Budget"))</f>
        <v>Under Budget</v>
      </c>
    </row>
    <row r="64" customFormat="false" ht="15" hidden="false" customHeight="false" outlineLevel="0" collapsed="false">
      <c r="A64" s="6" t="n">
        <v>62</v>
      </c>
      <c r="B64" s="6" t="s">
        <v>66</v>
      </c>
      <c r="C64" s="6" t="s">
        <v>67</v>
      </c>
      <c r="D64" s="6" t="s">
        <v>68</v>
      </c>
      <c r="E64" s="6" t="s">
        <v>34</v>
      </c>
      <c r="F64" s="6" t="s">
        <v>32</v>
      </c>
      <c r="G64" s="6" t="s">
        <v>36</v>
      </c>
      <c r="H64" s="7" t="n">
        <v>526.2</v>
      </c>
      <c r="I64" s="7" t="n">
        <v>485.06</v>
      </c>
      <c r="J64" s="7" t="n">
        <f aca="false">I64-H64</f>
        <v>-41.14</v>
      </c>
      <c r="K64" s="8" t="n">
        <f aca="false">IFERROR((I64-H64)/H64,0)</f>
        <v>-0.078183200304067</v>
      </c>
      <c r="L64" s="6" t="str">
        <f aca="false">IF(J64&gt;0,"Over Budget",IF(J64&lt;0,"Under Budget","On Budget"))</f>
        <v>Under Budget</v>
      </c>
    </row>
    <row r="65" customFormat="false" ht="15" hidden="false" customHeight="false" outlineLevel="0" collapsed="false">
      <c r="A65" s="3" t="n">
        <v>63</v>
      </c>
      <c r="B65" s="3" t="s">
        <v>66</v>
      </c>
      <c r="C65" s="3" t="s">
        <v>67</v>
      </c>
      <c r="D65" s="3" t="s">
        <v>68</v>
      </c>
      <c r="E65" s="3" t="s">
        <v>37</v>
      </c>
      <c r="F65" s="3" t="s">
        <v>35</v>
      </c>
      <c r="G65" s="3" t="s">
        <v>46</v>
      </c>
      <c r="H65" s="4" t="n">
        <v>308.68</v>
      </c>
      <c r="I65" s="4" t="n">
        <v>273.97</v>
      </c>
      <c r="J65" s="4" t="n">
        <f aca="false">I65-H65</f>
        <v>-34.71</v>
      </c>
      <c r="K65" s="5" t="n">
        <f aca="false">IFERROR((I65-H65)/H65,0)</f>
        <v>-0.112446546585461</v>
      </c>
      <c r="L65" s="3" t="str">
        <f aca="false">IF(J65&gt;0,"Over Budget",IF(J65&lt;0,"Under Budget","On Budget"))</f>
        <v>Under Budget</v>
      </c>
    </row>
    <row r="66" customFormat="false" ht="15" hidden="false" customHeight="false" outlineLevel="0" collapsed="false">
      <c r="A66" s="6" t="n">
        <v>64</v>
      </c>
      <c r="B66" s="6" t="s">
        <v>69</v>
      </c>
      <c r="C66" s="6" t="s">
        <v>70</v>
      </c>
      <c r="D66" s="6" t="s">
        <v>68</v>
      </c>
      <c r="E66" s="6" t="s">
        <v>16</v>
      </c>
      <c r="F66" s="6" t="s">
        <v>17</v>
      </c>
      <c r="G66" s="6" t="s">
        <v>18</v>
      </c>
      <c r="H66" s="7" t="n">
        <v>13694.65</v>
      </c>
      <c r="I66" s="7" t="n">
        <v>14774.57</v>
      </c>
      <c r="J66" s="7" t="n">
        <f aca="false">I66-H66</f>
        <v>1079.92</v>
      </c>
      <c r="K66" s="8" t="n">
        <f aca="false">IFERROR((I66-H66)/H66,0)</f>
        <v>0.078857071922247</v>
      </c>
      <c r="L66" s="6" t="str">
        <f aca="false">IF(J66&gt;0,"Over Budget",IF(J66&lt;0,"Under Budget","On Budget"))</f>
        <v>Over Budget</v>
      </c>
    </row>
    <row r="67" customFormat="false" ht="15" hidden="false" customHeight="false" outlineLevel="0" collapsed="false">
      <c r="A67" s="3" t="n">
        <v>65</v>
      </c>
      <c r="B67" s="3" t="s">
        <v>69</v>
      </c>
      <c r="C67" s="3" t="s">
        <v>70</v>
      </c>
      <c r="D67" s="3" t="s">
        <v>68</v>
      </c>
      <c r="E67" s="3" t="s">
        <v>19</v>
      </c>
      <c r="F67" s="3" t="s">
        <v>24</v>
      </c>
      <c r="G67" s="3" t="s">
        <v>50</v>
      </c>
      <c r="H67" s="4" t="n">
        <v>4053.22</v>
      </c>
      <c r="I67" s="4" t="n">
        <v>4868.76</v>
      </c>
      <c r="J67" s="4" t="n">
        <f aca="false">I67-H67</f>
        <v>815.54</v>
      </c>
      <c r="K67" s="5" t="n">
        <f aca="false">IFERROR((I67-H67)/H67,0)</f>
        <v>0.201207928511159</v>
      </c>
      <c r="L67" s="3" t="str">
        <f aca="false">IF(J67&gt;0,"Over Budget",IF(J67&lt;0,"Under Budget","On Budget"))</f>
        <v>Over Budget</v>
      </c>
    </row>
    <row r="68" customFormat="false" ht="15" hidden="false" customHeight="false" outlineLevel="0" collapsed="false">
      <c r="A68" s="6" t="n">
        <v>66</v>
      </c>
      <c r="B68" s="6" t="s">
        <v>69</v>
      </c>
      <c r="C68" s="6" t="s">
        <v>70</v>
      </c>
      <c r="D68" s="6" t="s">
        <v>68</v>
      </c>
      <c r="E68" s="6" t="s">
        <v>21</v>
      </c>
      <c r="F68" s="6" t="s">
        <v>17</v>
      </c>
      <c r="G68" s="6" t="s">
        <v>57</v>
      </c>
      <c r="H68" s="7" t="n">
        <v>1668.27</v>
      </c>
      <c r="I68" s="7" t="n">
        <v>1369.18</v>
      </c>
      <c r="J68" s="7" t="n">
        <f aca="false">I68-H68</f>
        <v>-299.09</v>
      </c>
      <c r="K68" s="8" t="n">
        <f aca="false">IFERROR((I68-H68)/H68,0)</f>
        <v>-0.179281531167017</v>
      </c>
      <c r="L68" s="6" t="str">
        <f aca="false">IF(J68&gt;0,"Over Budget",IF(J68&lt;0,"Under Budget","On Budget"))</f>
        <v>Under Budget</v>
      </c>
    </row>
    <row r="69" customFormat="false" ht="15" hidden="false" customHeight="false" outlineLevel="0" collapsed="false">
      <c r="A69" s="3" t="n">
        <v>67</v>
      </c>
      <c r="B69" s="3" t="s">
        <v>69</v>
      </c>
      <c r="C69" s="3" t="s">
        <v>70</v>
      </c>
      <c r="D69" s="3" t="s">
        <v>68</v>
      </c>
      <c r="E69" s="3" t="s">
        <v>17</v>
      </c>
      <c r="F69" s="3" t="s">
        <v>22</v>
      </c>
      <c r="G69" s="3" t="s">
        <v>43</v>
      </c>
      <c r="H69" s="4" t="n">
        <v>5216.01</v>
      </c>
      <c r="I69" s="4" t="n">
        <v>4074.9</v>
      </c>
      <c r="J69" s="4" t="n">
        <f aca="false">I69-H69</f>
        <v>-1141.11</v>
      </c>
      <c r="K69" s="5" t="n">
        <f aca="false">IFERROR((I69-H69)/H69,0)</f>
        <v>-0.218770669534759</v>
      </c>
      <c r="L69" s="3" t="str">
        <f aca="false">IF(J69&gt;0,"Over Budget",IF(J69&lt;0,"Under Budget","On Budget"))</f>
        <v>Under Budget</v>
      </c>
    </row>
    <row r="70" customFormat="false" ht="15" hidden="false" customHeight="false" outlineLevel="0" collapsed="false">
      <c r="A70" s="6" t="n">
        <v>68</v>
      </c>
      <c r="B70" s="6" t="s">
        <v>69</v>
      </c>
      <c r="C70" s="6" t="s">
        <v>70</v>
      </c>
      <c r="D70" s="6" t="s">
        <v>68</v>
      </c>
      <c r="E70" s="6" t="s">
        <v>26</v>
      </c>
      <c r="F70" s="6" t="s">
        <v>22</v>
      </c>
      <c r="G70" s="6" t="s">
        <v>28</v>
      </c>
      <c r="H70" s="7" t="n">
        <v>652.9</v>
      </c>
      <c r="I70" s="7" t="n">
        <v>515.85</v>
      </c>
      <c r="J70" s="7" t="n">
        <f aca="false">I70-H70</f>
        <v>-137.05</v>
      </c>
      <c r="K70" s="8" t="n">
        <f aca="false">IFERROR((I70-H70)/H70,0)</f>
        <v>-0.209909633940879</v>
      </c>
      <c r="L70" s="6" t="str">
        <f aca="false">IF(J70&gt;0,"Over Budget",IF(J70&lt;0,"Under Budget","On Budget"))</f>
        <v>Under Budget</v>
      </c>
    </row>
    <row r="71" customFormat="false" ht="15" hidden="false" customHeight="false" outlineLevel="0" collapsed="false">
      <c r="A71" s="3" t="n">
        <v>69</v>
      </c>
      <c r="B71" s="3" t="s">
        <v>69</v>
      </c>
      <c r="C71" s="3" t="s">
        <v>70</v>
      </c>
      <c r="D71" s="3" t="s">
        <v>68</v>
      </c>
      <c r="E71" s="3" t="s">
        <v>29</v>
      </c>
      <c r="F71" s="3" t="s">
        <v>32</v>
      </c>
      <c r="G71" s="3" t="s">
        <v>51</v>
      </c>
      <c r="H71" s="4" t="n">
        <v>583.55</v>
      </c>
      <c r="I71" s="4" t="n">
        <v>500.9</v>
      </c>
      <c r="J71" s="4" t="n">
        <f aca="false">I71-H71</f>
        <v>-82.65</v>
      </c>
      <c r="K71" s="5" t="n">
        <f aca="false">IFERROR((I71-H71)/H71,0)</f>
        <v>-0.141633107702853</v>
      </c>
      <c r="L71" s="3" t="str">
        <f aca="false">IF(J71&gt;0,"Over Budget",IF(J71&lt;0,"Under Budget","On Budget"))</f>
        <v>Under Budget</v>
      </c>
    </row>
    <row r="72" customFormat="false" ht="15" hidden="false" customHeight="false" outlineLevel="0" collapsed="false">
      <c r="A72" s="6" t="n">
        <v>70</v>
      </c>
      <c r="B72" s="6" t="s">
        <v>69</v>
      </c>
      <c r="C72" s="6" t="s">
        <v>70</v>
      </c>
      <c r="D72" s="6" t="s">
        <v>68</v>
      </c>
      <c r="E72" s="6" t="s">
        <v>31</v>
      </c>
      <c r="F72" s="6" t="s">
        <v>24</v>
      </c>
      <c r="G72" s="6" t="s">
        <v>33</v>
      </c>
      <c r="H72" s="7" t="n">
        <v>2003.16</v>
      </c>
      <c r="I72" s="7" t="n">
        <v>1938.87</v>
      </c>
      <c r="J72" s="7" t="n">
        <f aca="false">I72-H72</f>
        <v>-64.2900000000002</v>
      </c>
      <c r="K72" s="8" t="n">
        <f aca="false">IFERROR((I72-H72)/H72,0)</f>
        <v>-0.0320942910201882</v>
      </c>
      <c r="L72" s="6" t="str">
        <f aca="false">IF(J72&gt;0,"Over Budget",IF(J72&lt;0,"Under Budget","On Budget"))</f>
        <v>Under Budget</v>
      </c>
    </row>
    <row r="73" customFormat="false" ht="15" hidden="false" customHeight="false" outlineLevel="0" collapsed="false">
      <c r="A73" s="3" t="n">
        <v>71</v>
      </c>
      <c r="B73" s="3" t="s">
        <v>69</v>
      </c>
      <c r="C73" s="3" t="s">
        <v>70</v>
      </c>
      <c r="D73" s="3" t="s">
        <v>68</v>
      </c>
      <c r="E73" s="3" t="s">
        <v>34</v>
      </c>
      <c r="F73" s="3" t="s">
        <v>35</v>
      </c>
      <c r="G73" s="3" t="s">
        <v>45</v>
      </c>
      <c r="H73" s="4" t="n">
        <v>1067.68</v>
      </c>
      <c r="I73" s="4" t="n">
        <v>847.8</v>
      </c>
      <c r="J73" s="4" t="n">
        <f aca="false">I73-H73</f>
        <v>-219.88</v>
      </c>
      <c r="K73" s="5" t="n">
        <f aca="false">IFERROR((I73-H73)/H73,0)</f>
        <v>-0.205941855237524</v>
      </c>
      <c r="L73" s="3" t="str">
        <f aca="false">IF(J73&gt;0,"Over Budget",IF(J73&lt;0,"Under Budget","On Budget"))</f>
        <v>Under Budget</v>
      </c>
    </row>
    <row r="74" customFormat="false" ht="15" hidden="false" customHeight="false" outlineLevel="0" collapsed="false">
      <c r="A74" s="6" t="n">
        <v>72</v>
      </c>
      <c r="B74" s="6" t="s">
        <v>69</v>
      </c>
      <c r="C74" s="6" t="s">
        <v>70</v>
      </c>
      <c r="D74" s="6" t="s">
        <v>68</v>
      </c>
      <c r="E74" s="6" t="s">
        <v>37</v>
      </c>
      <c r="F74" s="6" t="s">
        <v>27</v>
      </c>
      <c r="G74" s="6" t="s">
        <v>38</v>
      </c>
      <c r="H74" s="7" t="n">
        <v>242.48</v>
      </c>
      <c r="I74" s="7" t="n">
        <v>228.68</v>
      </c>
      <c r="J74" s="7" t="n">
        <f aca="false">I74-H74</f>
        <v>-13.8</v>
      </c>
      <c r="K74" s="8" t="n">
        <f aca="false">IFERROR((I74-H74)/H74,0)</f>
        <v>-0.05691191026064</v>
      </c>
      <c r="L74" s="6" t="str">
        <f aca="false">IF(J74&gt;0,"Over Budget",IF(J74&lt;0,"Under Budget","On Budget"))</f>
        <v>Under Budget</v>
      </c>
    </row>
    <row r="75" customFormat="false" ht="15" hidden="false" customHeight="false" outlineLevel="0" collapsed="false">
      <c r="A75" s="3" t="n">
        <v>73</v>
      </c>
      <c r="B75" s="3" t="s">
        <v>71</v>
      </c>
      <c r="C75" s="3" t="s">
        <v>72</v>
      </c>
      <c r="D75" s="3" t="s">
        <v>68</v>
      </c>
      <c r="E75" s="3" t="s">
        <v>16</v>
      </c>
      <c r="F75" s="3" t="s">
        <v>24</v>
      </c>
      <c r="G75" s="3" t="s">
        <v>49</v>
      </c>
      <c r="H75" s="4" t="n">
        <v>10050.38</v>
      </c>
      <c r="I75" s="4" t="n">
        <v>10811.18</v>
      </c>
      <c r="J75" s="4" t="n">
        <f aca="false">I75-H75</f>
        <v>760.800000000001</v>
      </c>
      <c r="K75" s="5" t="n">
        <f aca="false">IFERROR((I75-H75)/H75,0)</f>
        <v>0.075698630300546</v>
      </c>
      <c r="L75" s="3" t="str">
        <f aca="false">IF(J75&gt;0,"Over Budget",IF(J75&lt;0,"Under Budget","On Budget"))</f>
        <v>Over Budget</v>
      </c>
    </row>
    <row r="76" customFormat="false" ht="15" hidden="false" customHeight="false" outlineLevel="0" collapsed="false">
      <c r="A76" s="6" t="n">
        <v>74</v>
      </c>
      <c r="B76" s="6" t="s">
        <v>71</v>
      </c>
      <c r="C76" s="6" t="s">
        <v>72</v>
      </c>
      <c r="D76" s="6" t="s">
        <v>68</v>
      </c>
      <c r="E76" s="6" t="s">
        <v>19</v>
      </c>
      <c r="F76" s="6" t="s">
        <v>35</v>
      </c>
      <c r="G76" s="6" t="s">
        <v>73</v>
      </c>
      <c r="H76" s="7" t="n">
        <v>4473.84</v>
      </c>
      <c r="I76" s="7" t="n">
        <v>4352.71</v>
      </c>
      <c r="J76" s="7" t="n">
        <f aca="false">I76-H76</f>
        <v>-121.13</v>
      </c>
      <c r="K76" s="8" t="n">
        <f aca="false">IFERROR((I76-H76)/H76,0)</f>
        <v>-0.0270751747939131</v>
      </c>
      <c r="L76" s="6" t="str">
        <f aca="false">IF(J76&gt;0,"Over Budget",IF(J76&lt;0,"Under Budget","On Budget"))</f>
        <v>Under Budget</v>
      </c>
    </row>
    <row r="77" customFormat="false" ht="15" hidden="false" customHeight="false" outlineLevel="0" collapsed="false">
      <c r="A77" s="3" t="n">
        <v>75</v>
      </c>
      <c r="B77" s="3" t="s">
        <v>71</v>
      </c>
      <c r="C77" s="3" t="s">
        <v>72</v>
      </c>
      <c r="D77" s="3" t="s">
        <v>68</v>
      </c>
      <c r="E77" s="3" t="s">
        <v>21</v>
      </c>
      <c r="F77" s="3" t="s">
        <v>27</v>
      </c>
      <c r="G77" s="3" t="s">
        <v>23</v>
      </c>
      <c r="H77" s="4" t="n">
        <v>3445.27</v>
      </c>
      <c r="I77" s="4" t="n">
        <v>3316.85</v>
      </c>
      <c r="J77" s="4" t="n">
        <f aca="false">I77-H77</f>
        <v>-128.42</v>
      </c>
      <c r="K77" s="5" t="n">
        <f aca="false">IFERROR((I77-H77)/H77,0)</f>
        <v>-0.0372742920003367</v>
      </c>
      <c r="L77" s="3" t="str">
        <f aca="false">IF(J77&gt;0,"Over Budget",IF(J77&lt;0,"Under Budget","On Budget"))</f>
        <v>Under Budget</v>
      </c>
    </row>
    <row r="78" customFormat="false" ht="15" hidden="false" customHeight="false" outlineLevel="0" collapsed="false">
      <c r="A78" s="6" t="n">
        <v>76</v>
      </c>
      <c r="B78" s="6" t="s">
        <v>71</v>
      </c>
      <c r="C78" s="6" t="s">
        <v>72</v>
      </c>
      <c r="D78" s="6" t="s">
        <v>68</v>
      </c>
      <c r="E78" s="6" t="s">
        <v>17</v>
      </c>
      <c r="F78" s="6" t="s">
        <v>24</v>
      </c>
      <c r="G78" s="6" t="s">
        <v>58</v>
      </c>
      <c r="H78" s="7" t="n">
        <v>4709.69</v>
      </c>
      <c r="I78" s="7" t="n">
        <v>4587.65</v>
      </c>
      <c r="J78" s="7" t="n">
        <f aca="false">I78-H78</f>
        <v>-122.04</v>
      </c>
      <c r="K78" s="8" t="n">
        <f aca="false">IFERROR((I78-H78)/H78,0)</f>
        <v>-0.0259125335213146</v>
      </c>
      <c r="L78" s="6" t="str">
        <f aca="false">IF(J78&gt;0,"Over Budget",IF(J78&lt;0,"Under Budget","On Budget"))</f>
        <v>Under Budget</v>
      </c>
    </row>
    <row r="79" customFormat="false" ht="15" hidden="false" customHeight="false" outlineLevel="0" collapsed="false">
      <c r="A79" s="3" t="n">
        <v>77</v>
      </c>
      <c r="B79" s="3" t="s">
        <v>71</v>
      </c>
      <c r="C79" s="3" t="s">
        <v>72</v>
      </c>
      <c r="D79" s="3" t="s">
        <v>68</v>
      </c>
      <c r="E79" s="3" t="s">
        <v>26</v>
      </c>
      <c r="F79" s="3" t="s">
        <v>17</v>
      </c>
      <c r="G79" s="3" t="s">
        <v>74</v>
      </c>
      <c r="H79" s="4" t="n">
        <v>1572.9</v>
      </c>
      <c r="I79" s="4" t="n">
        <v>1961.16</v>
      </c>
      <c r="J79" s="4" t="n">
        <f aca="false">I79-H79</f>
        <v>388.26</v>
      </c>
      <c r="K79" s="5" t="n">
        <f aca="false">IFERROR((I79-H79)/H79,0)</f>
        <v>0.246843410261301</v>
      </c>
      <c r="L79" s="3" t="str">
        <f aca="false">IF(J79&gt;0,"Over Budget",IF(J79&lt;0,"Under Budget","On Budget"))</f>
        <v>Over Budget</v>
      </c>
    </row>
    <row r="80" customFormat="false" ht="15" hidden="false" customHeight="false" outlineLevel="0" collapsed="false">
      <c r="A80" s="6" t="n">
        <v>78</v>
      </c>
      <c r="B80" s="6" t="s">
        <v>71</v>
      </c>
      <c r="C80" s="6" t="s">
        <v>72</v>
      </c>
      <c r="D80" s="6" t="s">
        <v>68</v>
      </c>
      <c r="E80" s="6" t="s">
        <v>29</v>
      </c>
      <c r="F80" s="6" t="s">
        <v>24</v>
      </c>
      <c r="G80" s="6" t="s">
        <v>59</v>
      </c>
      <c r="H80" s="7" t="n">
        <v>642.48</v>
      </c>
      <c r="I80" s="7" t="n">
        <v>521.15</v>
      </c>
      <c r="J80" s="7" t="n">
        <f aca="false">I80-H80</f>
        <v>-121.33</v>
      </c>
      <c r="K80" s="8" t="n">
        <f aca="false">IFERROR((I80-H80)/H80,0)</f>
        <v>-0.18884634541153</v>
      </c>
      <c r="L80" s="6" t="str">
        <f aca="false">IF(J80&gt;0,"Over Budget",IF(J80&lt;0,"Under Budget","On Budget"))</f>
        <v>Under Budget</v>
      </c>
    </row>
    <row r="81" customFormat="false" ht="15" hidden="false" customHeight="false" outlineLevel="0" collapsed="false">
      <c r="A81" s="3" t="n">
        <v>79</v>
      </c>
      <c r="B81" s="3" t="s">
        <v>71</v>
      </c>
      <c r="C81" s="3" t="s">
        <v>72</v>
      </c>
      <c r="D81" s="3" t="s">
        <v>68</v>
      </c>
      <c r="E81" s="3" t="s">
        <v>31</v>
      </c>
      <c r="F81" s="3" t="s">
        <v>22</v>
      </c>
      <c r="G81" s="3" t="s">
        <v>60</v>
      </c>
      <c r="H81" s="4" t="n">
        <v>2624.02</v>
      </c>
      <c r="I81" s="4" t="n">
        <v>2131.61</v>
      </c>
      <c r="J81" s="4" t="n">
        <f aca="false">I81-H81</f>
        <v>-492.41</v>
      </c>
      <c r="K81" s="5" t="n">
        <f aca="false">IFERROR((I81-H81)/H81,0)</f>
        <v>-0.187654819704118</v>
      </c>
      <c r="L81" s="3" t="str">
        <f aca="false">IF(J81&gt;0,"Over Budget",IF(J81&lt;0,"Under Budget","On Budget"))</f>
        <v>Under Budget</v>
      </c>
    </row>
    <row r="82" customFormat="false" ht="15" hidden="false" customHeight="false" outlineLevel="0" collapsed="false">
      <c r="A82" s="6" t="n">
        <v>80</v>
      </c>
      <c r="B82" s="6" t="s">
        <v>71</v>
      </c>
      <c r="C82" s="6" t="s">
        <v>72</v>
      </c>
      <c r="D82" s="6" t="s">
        <v>68</v>
      </c>
      <c r="E82" s="6" t="s">
        <v>34</v>
      </c>
      <c r="F82" s="6" t="s">
        <v>24</v>
      </c>
      <c r="G82" s="6" t="s">
        <v>53</v>
      </c>
      <c r="H82" s="7" t="n">
        <v>554.5</v>
      </c>
      <c r="I82" s="7" t="n">
        <v>531.66</v>
      </c>
      <c r="J82" s="7" t="n">
        <f aca="false">I82-H82</f>
        <v>-22.84</v>
      </c>
      <c r="K82" s="8" t="n">
        <f aca="false">IFERROR((I82-H82)/H82,0)</f>
        <v>-0.0411902614968441</v>
      </c>
      <c r="L82" s="6" t="str">
        <f aca="false">IF(J82&gt;0,"Over Budget",IF(J82&lt;0,"Under Budget","On Budget"))</f>
        <v>Under Budget</v>
      </c>
    </row>
    <row r="83" customFormat="false" ht="15" hidden="false" customHeight="false" outlineLevel="0" collapsed="false">
      <c r="A83" s="3" t="n">
        <v>81</v>
      </c>
      <c r="B83" s="3" t="s">
        <v>71</v>
      </c>
      <c r="C83" s="3" t="s">
        <v>72</v>
      </c>
      <c r="D83" s="3" t="s">
        <v>68</v>
      </c>
      <c r="E83" s="3" t="s">
        <v>37</v>
      </c>
      <c r="F83" s="3" t="s">
        <v>32</v>
      </c>
      <c r="G83" s="3" t="s">
        <v>61</v>
      </c>
      <c r="H83" s="4" t="n">
        <v>342.44</v>
      </c>
      <c r="I83" s="4" t="n">
        <v>337.53</v>
      </c>
      <c r="J83" s="4" t="n">
        <f aca="false">I83-H83</f>
        <v>-4.91000000000003</v>
      </c>
      <c r="K83" s="5" t="n">
        <f aca="false">IFERROR((I83-H83)/H83,0)</f>
        <v>-0.0143382782385236</v>
      </c>
      <c r="L83" s="3" t="str">
        <f aca="false">IF(J83&gt;0,"Over Budget",IF(J83&lt;0,"Under Budget","On Budget"))</f>
        <v>Under Budget</v>
      </c>
    </row>
    <row r="84" customFormat="false" ht="15" hidden="false" customHeight="false" outlineLevel="0" collapsed="false">
      <c r="A84" s="6" t="n">
        <v>82</v>
      </c>
      <c r="B84" s="6" t="s">
        <v>75</v>
      </c>
      <c r="C84" s="6" t="s">
        <v>76</v>
      </c>
      <c r="D84" s="6" t="s">
        <v>77</v>
      </c>
      <c r="E84" s="6" t="s">
        <v>16</v>
      </c>
      <c r="F84" s="6" t="s">
        <v>35</v>
      </c>
      <c r="G84" s="6" t="s">
        <v>49</v>
      </c>
      <c r="H84" s="7" t="n">
        <v>13696.19</v>
      </c>
      <c r="I84" s="7" t="n">
        <v>17703.7</v>
      </c>
      <c r="J84" s="7" t="n">
        <f aca="false">I84-H84</f>
        <v>4007.51</v>
      </c>
      <c r="K84" s="8" t="n">
        <f aca="false">IFERROR((I84-H84)/H84,0)</f>
        <v>0.292600350900506</v>
      </c>
      <c r="L84" s="6" t="str">
        <f aca="false">IF(J84&gt;0,"Over Budget",IF(J84&lt;0,"Under Budget","On Budget"))</f>
        <v>Over Budget</v>
      </c>
    </row>
    <row r="85" customFormat="false" ht="15" hidden="false" customHeight="false" outlineLevel="0" collapsed="false">
      <c r="A85" s="3" t="n">
        <v>83</v>
      </c>
      <c r="B85" s="3" t="s">
        <v>75</v>
      </c>
      <c r="C85" s="3" t="s">
        <v>76</v>
      </c>
      <c r="D85" s="3" t="s">
        <v>77</v>
      </c>
      <c r="E85" s="3" t="s">
        <v>19</v>
      </c>
      <c r="F85" s="3" t="s">
        <v>27</v>
      </c>
      <c r="G85" s="3" t="s">
        <v>50</v>
      </c>
      <c r="H85" s="4" t="n">
        <v>4462.53</v>
      </c>
      <c r="I85" s="4" t="n">
        <v>4806.59</v>
      </c>
      <c r="J85" s="4" t="n">
        <f aca="false">I85-H85</f>
        <v>344.06</v>
      </c>
      <c r="K85" s="5" t="n">
        <f aca="false">IFERROR((I85-H85)/H85,0)</f>
        <v>0.0770997617943186</v>
      </c>
      <c r="L85" s="3" t="str">
        <f aca="false">IF(J85&gt;0,"Over Budget",IF(J85&lt;0,"Under Budget","On Budget"))</f>
        <v>Over Budget</v>
      </c>
    </row>
    <row r="86" customFormat="false" ht="15" hidden="false" customHeight="false" outlineLevel="0" collapsed="false">
      <c r="A86" s="6" t="n">
        <v>84</v>
      </c>
      <c r="B86" s="6" t="s">
        <v>75</v>
      </c>
      <c r="C86" s="6" t="s">
        <v>76</v>
      </c>
      <c r="D86" s="6" t="s">
        <v>77</v>
      </c>
      <c r="E86" s="6" t="s">
        <v>21</v>
      </c>
      <c r="F86" s="6" t="s">
        <v>22</v>
      </c>
      <c r="G86" s="6" t="s">
        <v>57</v>
      </c>
      <c r="H86" s="7" t="n">
        <v>2875.65</v>
      </c>
      <c r="I86" s="7" t="n">
        <v>2586.44</v>
      </c>
      <c r="J86" s="7" t="n">
        <f aca="false">I86-H86</f>
        <v>-289.21</v>
      </c>
      <c r="K86" s="8" t="n">
        <f aca="false">IFERROR((I86-H86)/H86,0)</f>
        <v>-0.100572044581225</v>
      </c>
      <c r="L86" s="6" t="str">
        <f aca="false">IF(J86&gt;0,"Over Budget",IF(J86&lt;0,"Under Budget","On Budget"))</f>
        <v>Under Budget</v>
      </c>
    </row>
    <row r="87" customFormat="false" ht="15" hidden="false" customHeight="false" outlineLevel="0" collapsed="false">
      <c r="A87" s="3" t="n">
        <v>85</v>
      </c>
      <c r="B87" s="3" t="s">
        <v>75</v>
      </c>
      <c r="C87" s="3" t="s">
        <v>76</v>
      </c>
      <c r="D87" s="3" t="s">
        <v>77</v>
      </c>
      <c r="E87" s="3" t="s">
        <v>17</v>
      </c>
      <c r="F87" s="3" t="s">
        <v>35</v>
      </c>
      <c r="G87" s="3" t="s">
        <v>58</v>
      </c>
      <c r="H87" s="4" t="n">
        <v>3655.59</v>
      </c>
      <c r="I87" s="4" t="n">
        <v>2992.42</v>
      </c>
      <c r="J87" s="4" t="n">
        <f aca="false">I87-H87</f>
        <v>-663.17</v>
      </c>
      <c r="K87" s="5" t="n">
        <f aca="false">IFERROR((I87-H87)/H87,0)</f>
        <v>-0.181412576355664</v>
      </c>
      <c r="L87" s="3" t="str">
        <f aca="false">IF(J87&gt;0,"Over Budget",IF(J87&lt;0,"Under Budget","On Budget"))</f>
        <v>Under Budget</v>
      </c>
    </row>
    <row r="88" customFormat="false" ht="15" hidden="false" customHeight="false" outlineLevel="0" collapsed="false">
      <c r="A88" s="6" t="n">
        <v>86</v>
      </c>
      <c r="B88" s="6" t="s">
        <v>75</v>
      </c>
      <c r="C88" s="6" t="s">
        <v>76</v>
      </c>
      <c r="D88" s="6" t="s">
        <v>77</v>
      </c>
      <c r="E88" s="6" t="s">
        <v>26</v>
      </c>
      <c r="F88" s="6" t="s">
        <v>17</v>
      </c>
      <c r="G88" s="6" t="s">
        <v>28</v>
      </c>
      <c r="H88" s="7" t="n">
        <v>602.03</v>
      </c>
      <c r="I88" s="7" t="n">
        <v>532.1</v>
      </c>
      <c r="J88" s="7" t="n">
        <f aca="false">I88-H88</f>
        <v>-69.93</v>
      </c>
      <c r="K88" s="8" t="n">
        <f aca="false">IFERROR((I88-H88)/H88,0)</f>
        <v>-0.11615700214275</v>
      </c>
      <c r="L88" s="6" t="str">
        <f aca="false">IF(J88&gt;0,"Over Budget",IF(J88&lt;0,"Under Budget","On Budget"))</f>
        <v>Under Budget</v>
      </c>
    </row>
    <row r="89" customFormat="false" ht="15" hidden="false" customHeight="false" outlineLevel="0" collapsed="false">
      <c r="A89" s="3" t="n">
        <v>87</v>
      </c>
      <c r="B89" s="3" t="s">
        <v>75</v>
      </c>
      <c r="C89" s="3" t="s">
        <v>76</v>
      </c>
      <c r="D89" s="3" t="s">
        <v>77</v>
      </c>
      <c r="E89" s="3" t="s">
        <v>29</v>
      </c>
      <c r="F89" s="3" t="s">
        <v>17</v>
      </c>
      <c r="G89" s="3" t="s">
        <v>30</v>
      </c>
      <c r="H89" s="4" t="n">
        <v>581.67</v>
      </c>
      <c r="I89" s="4" t="n">
        <v>673.47</v>
      </c>
      <c r="J89" s="4" t="n">
        <f aca="false">I89-H89</f>
        <v>91.8000000000001</v>
      </c>
      <c r="K89" s="5" t="n">
        <f aca="false">IFERROR((I89-H89)/H89,0)</f>
        <v>0.157821445149312</v>
      </c>
      <c r="L89" s="3" t="str">
        <f aca="false">IF(J89&gt;0,"Over Budget",IF(J89&lt;0,"Under Budget","On Budget"))</f>
        <v>Over Budget</v>
      </c>
    </row>
    <row r="90" customFormat="false" ht="15" hidden="false" customHeight="false" outlineLevel="0" collapsed="false">
      <c r="A90" s="6" t="n">
        <v>88</v>
      </c>
      <c r="B90" s="6" t="s">
        <v>75</v>
      </c>
      <c r="C90" s="6" t="s">
        <v>76</v>
      </c>
      <c r="D90" s="6" t="s">
        <v>77</v>
      </c>
      <c r="E90" s="6" t="s">
        <v>31</v>
      </c>
      <c r="F90" s="6" t="s">
        <v>17</v>
      </c>
      <c r="G90" s="6" t="s">
        <v>60</v>
      </c>
      <c r="H90" s="7" t="n">
        <v>3482.52</v>
      </c>
      <c r="I90" s="7" t="n">
        <v>2746.54</v>
      </c>
      <c r="J90" s="7" t="n">
        <f aca="false">I90-H90</f>
        <v>-735.98</v>
      </c>
      <c r="K90" s="8" t="n">
        <f aca="false">IFERROR((I90-H90)/H90,0)</f>
        <v>-0.211335469717331</v>
      </c>
      <c r="L90" s="6" t="str">
        <f aca="false">IF(J90&gt;0,"Over Budget",IF(J90&lt;0,"Under Budget","On Budget"))</f>
        <v>Under Budget</v>
      </c>
    </row>
    <row r="91" customFormat="false" ht="15" hidden="false" customHeight="false" outlineLevel="0" collapsed="false">
      <c r="A91" s="3" t="n">
        <v>89</v>
      </c>
      <c r="B91" s="3" t="s">
        <v>75</v>
      </c>
      <c r="C91" s="3" t="s">
        <v>76</v>
      </c>
      <c r="D91" s="3" t="s">
        <v>77</v>
      </c>
      <c r="E91" s="3" t="s">
        <v>34</v>
      </c>
      <c r="F91" s="3" t="s">
        <v>32</v>
      </c>
      <c r="G91" s="3" t="s">
        <v>53</v>
      </c>
      <c r="H91" s="4" t="n">
        <v>647.43</v>
      </c>
      <c r="I91" s="4" t="n">
        <v>551.97</v>
      </c>
      <c r="J91" s="4" t="n">
        <f aca="false">I91-H91</f>
        <v>-95.4599999999999</v>
      </c>
      <c r="K91" s="5" t="n">
        <f aca="false">IFERROR((I91-H91)/H91,0)</f>
        <v>-0.147444511375747</v>
      </c>
      <c r="L91" s="3" t="str">
        <f aca="false">IF(J91&gt;0,"Over Budget",IF(J91&lt;0,"Under Budget","On Budget"))</f>
        <v>Under Budget</v>
      </c>
    </row>
    <row r="92" customFormat="false" ht="15" hidden="false" customHeight="false" outlineLevel="0" collapsed="false">
      <c r="A92" s="6" t="n">
        <v>90</v>
      </c>
      <c r="B92" s="6" t="s">
        <v>75</v>
      </c>
      <c r="C92" s="6" t="s">
        <v>76</v>
      </c>
      <c r="D92" s="6" t="s">
        <v>77</v>
      </c>
      <c r="E92" s="6" t="s">
        <v>37</v>
      </c>
      <c r="F92" s="6" t="s">
        <v>32</v>
      </c>
      <c r="G92" s="6" t="s">
        <v>46</v>
      </c>
      <c r="H92" s="7" t="n">
        <v>188.19</v>
      </c>
      <c r="I92" s="7" t="n">
        <v>183.73</v>
      </c>
      <c r="J92" s="7" t="n">
        <f aca="false">I92-H92</f>
        <v>-4.46000000000001</v>
      </c>
      <c r="K92" s="8" t="n">
        <f aca="false">IFERROR((I92-H92)/H92,0)</f>
        <v>-0.0236994526808014</v>
      </c>
      <c r="L92" s="6" t="str">
        <f aca="false">IF(J92&gt;0,"Over Budget",IF(J92&lt;0,"Under Budget","On Budget"))</f>
        <v>Under Budget</v>
      </c>
    </row>
    <row r="93" customFormat="false" ht="15" hidden="false" customHeight="false" outlineLevel="0" collapsed="false">
      <c r="A93" s="3" t="n">
        <v>91</v>
      </c>
      <c r="B93" s="3" t="s">
        <v>78</v>
      </c>
      <c r="C93" s="3" t="s">
        <v>79</v>
      </c>
      <c r="D93" s="3" t="s">
        <v>77</v>
      </c>
      <c r="E93" s="3" t="s">
        <v>16</v>
      </c>
      <c r="F93" s="3" t="s">
        <v>17</v>
      </c>
      <c r="G93" s="3" t="s">
        <v>41</v>
      </c>
      <c r="H93" s="4" t="n">
        <v>13514.03</v>
      </c>
      <c r="I93" s="4" t="n">
        <v>11206.08</v>
      </c>
      <c r="J93" s="4" t="n">
        <f aca="false">I93-H93</f>
        <v>-2307.95</v>
      </c>
      <c r="K93" s="5" t="n">
        <f aca="false">IFERROR((I93-H93)/H93,0)</f>
        <v>-0.170781772720647</v>
      </c>
      <c r="L93" s="3" t="str">
        <f aca="false">IF(J93&gt;0,"Over Budget",IF(J93&lt;0,"Under Budget","On Budget"))</f>
        <v>Under Budget</v>
      </c>
    </row>
    <row r="94" customFormat="false" ht="15" hidden="false" customHeight="false" outlineLevel="0" collapsed="false">
      <c r="A94" s="6" t="n">
        <v>92</v>
      </c>
      <c r="B94" s="6" t="s">
        <v>78</v>
      </c>
      <c r="C94" s="6" t="s">
        <v>79</v>
      </c>
      <c r="D94" s="6" t="s">
        <v>77</v>
      </c>
      <c r="E94" s="6" t="s">
        <v>19</v>
      </c>
      <c r="F94" s="6" t="s">
        <v>35</v>
      </c>
      <c r="G94" s="6" t="s">
        <v>20</v>
      </c>
      <c r="H94" s="7" t="n">
        <v>3803.87</v>
      </c>
      <c r="I94" s="7" t="n">
        <v>4741.29</v>
      </c>
      <c r="J94" s="7" t="n">
        <f aca="false">I94-H94</f>
        <v>937.42</v>
      </c>
      <c r="K94" s="8" t="n">
        <f aca="false">IFERROR((I94-H94)/H94,0)</f>
        <v>0.246438495532182</v>
      </c>
      <c r="L94" s="6" t="str">
        <f aca="false">IF(J94&gt;0,"Over Budget",IF(J94&lt;0,"Under Budget","On Budget"))</f>
        <v>Over Budget</v>
      </c>
    </row>
    <row r="95" customFormat="false" ht="15" hidden="false" customHeight="false" outlineLevel="0" collapsed="false">
      <c r="A95" s="3" t="n">
        <v>93</v>
      </c>
      <c r="B95" s="3" t="s">
        <v>78</v>
      </c>
      <c r="C95" s="3" t="s">
        <v>79</v>
      </c>
      <c r="D95" s="3" t="s">
        <v>77</v>
      </c>
      <c r="E95" s="3" t="s">
        <v>21</v>
      </c>
      <c r="F95" s="3" t="s">
        <v>35</v>
      </c>
      <c r="G95" s="3" t="s">
        <v>42</v>
      </c>
      <c r="H95" s="4" t="n">
        <v>1941.17</v>
      </c>
      <c r="I95" s="4" t="n">
        <v>1776.94</v>
      </c>
      <c r="J95" s="4" t="n">
        <f aca="false">I95-H95</f>
        <v>-164.23</v>
      </c>
      <c r="K95" s="5" t="n">
        <f aca="false">IFERROR((I95-H95)/H95,0)</f>
        <v>-0.0846036153453845</v>
      </c>
      <c r="L95" s="3" t="str">
        <f aca="false">IF(J95&gt;0,"Over Budget",IF(J95&lt;0,"Under Budget","On Budget"))</f>
        <v>Under Budget</v>
      </c>
    </row>
    <row r="96" customFormat="false" ht="15" hidden="false" customHeight="false" outlineLevel="0" collapsed="false">
      <c r="A96" s="6" t="n">
        <v>94</v>
      </c>
      <c r="B96" s="6" t="s">
        <v>78</v>
      </c>
      <c r="C96" s="6" t="s">
        <v>79</v>
      </c>
      <c r="D96" s="6" t="s">
        <v>77</v>
      </c>
      <c r="E96" s="6" t="s">
        <v>17</v>
      </c>
      <c r="F96" s="6" t="s">
        <v>35</v>
      </c>
      <c r="G96" s="6" t="s">
        <v>43</v>
      </c>
      <c r="H96" s="7" t="n">
        <v>4881.21</v>
      </c>
      <c r="I96" s="7" t="n">
        <v>4535.97</v>
      </c>
      <c r="J96" s="7" t="n">
        <f aca="false">I96-H96</f>
        <v>-345.24</v>
      </c>
      <c r="K96" s="8" t="n">
        <f aca="false">IFERROR((I96-H96)/H96,0)</f>
        <v>-0.0707283644833965</v>
      </c>
      <c r="L96" s="6" t="str">
        <f aca="false">IF(J96&gt;0,"Over Budget",IF(J96&lt;0,"Under Budget","On Budget"))</f>
        <v>Under Budget</v>
      </c>
    </row>
    <row r="97" customFormat="false" ht="15" hidden="false" customHeight="false" outlineLevel="0" collapsed="false">
      <c r="A97" s="3" t="n">
        <v>95</v>
      </c>
      <c r="B97" s="3" t="s">
        <v>78</v>
      </c>
      <c r="C97" s="3" t="s">
        <v>79</v>
      </c>
      <c r="D97" s="3" t="s">
        <v>77</v>
      </c>
      <c r="E97" s="3" t="s">
        <v>26</v>
      </c>
      <c r="F97" s="3" t="s">
        <v>17</v>
      </c>
      <c r="G97" s="3" t="s">
        <v>44</v>
      </c>
      <c r="H97" s="4" t="n">
        <v>940.54</v>
      </c>
      <c r="I97" s="4" t="n">
        <v>848.77</v>
      </c>
      <c r="J97" s="4" t="n">
        <f aca="false">I97-H97</f>
        <v>-91.77</v>
      </c>
      <c r="K97" s="5" t="n">
        <f aca="false">IFERROR((I97-H97)/H97,0)</f>
        <v>-0.0975716077997746</v>
      </c>
      <c r="L97" s="3" t="str">
        <f aca="false">IF(J97&gt;0,"Over Budget",IF(J97&lt;0,"Under Budget","On Budget"))</f>
        <v>Under Budget</v>
      </c>
    </row>
    <row r="98" customFormat="false" ht="15" hidden="false" customHeight="false" outlineLevel="0" collapsed="false">
      <c r="A98" s="6" t="n">
        <v>96</v>
      </c>
      <c r="B98" s="6" t="s">
        <v>78</v>
      </c>
      <c r="C98" s="6" t="s">
        <v>79</v>
      </c>
      <c r="D98" s="6" t="s">
        <v>77</v>
      </c>
      <c r="E98" s="6" t="s">
        <v>29</v>
      </c>
      <c r="F98" s="6" t="s">
        <v>24</v>
      </c>
      <c r="G98" s="6" t="s">
        <v>51</v>
      </c>
      <c r="H98" s="7" t="n">
        <v>552.76</v>
      </c>
      <c r="I98" s="7" t="n">
        <v>607.92</v>
      </c>
      <c r="J98" s="7" t="n">
        <f aca="false">I98-H98</f>
        <v>55.16</v>
      </c>
      <c r="K98" s="8" t="n">
        <f aca="false">IFERROR((I98-H98)/H98,0)</f>
        <v>0.0997901440046313</v>
      </c>
      <c r="L98" s="6" t="str">
        <f aca="false">IF(J98&gt;0,"Over Budget",IF(J98&lt;0,"Under Budget","On Budget"))</f>
        <v>Over Budget</v>
      </c>
    </row>
    <row r="99" customFormat="false" ht="15" hidden="false" customHeight="false" outlineLevel="0" collapsed="false">
      <c r="A99" s="3" t="n">
        <v>97</v>
      </c>
      <c r="B99" s="3" t="s">
        <v>78</v>
      </c>
      <c r="C99" s="3" t="s">
        <v>79</v>
      </c>
      <c r="D99" s="3" t="s">
        <v>77</v>
      </c>
      <c r="E99" s="3" t="s">
        <v>31</v>
      </c>
      <c r="F99" s="3" t="s">
        <v>24</v>
      </c>
      <c r="G99" s="3" t="s">
        <v>33</v>
      </c>
      <c r="H99" s="4" t="n">
        <v>2461.07</v>
      </c>
      <c r="I99" s="4" t="n">
        <v>2351.4</v>
      </c>
      <c r="J99" s="4" t="n">
        <f aca="false">I99-H99</f>
        <v>-109.67</v>
      </c>
      <c r="K99" s="5" t="n">
        <f aca="false">IFERROR((I99-H99)/H99,0)</f>
        <v>-0.0445619181900556</v>
      </c>
      <c r="L99" s="3" t="str">
        <f aca="false">IF(J99&gt;0,"Over Budget",IF(J99&lt;0,"Under Budget","On Budget"))</f>
        <v>Under Budget</v>
      </c>
    </row>
    <row r="100" customFormat="false" ht="15" hidden="false" customHeight="false" outlineLevel="0" collapsed="false">
      <c r="A100" s="6" t="n">
        <v>98</v>
      </c>
      <c r="B100" s="6" t="s">
        <v>78</v>
      </c>
      <c r="C100" s="6" t="s">
        <v>79</v>
      </c>
      <c r="D100" s="6" t="s">
        <v>77</v>
      </c>
      <c r="E100" s="6" t="s">
        <v>34</v>
      </c>
      <c r="F100" s="6" t="s">
        <v>24</v>
      </c>
      <c r="G100" s="6" t="s">
        <v>36</v>
      </c>
      <c r="H100" s="7" t="n">
        <v>731.55</v>
      </c>
      <c r="I100" s="7" t="n">
        <v>588.69</v>
      </c>
      <c r="J100" s="7" t="n">
        <f aca="false">I100-H100</f>
        <v>-142.86</v>
      </c>
      <c r="K100" s="8" t="n">
        <f aca="false">IFERROR((I100-H100)/H100,0)</f>
        <v>-0.195283986057002</v>
      </c>
      <c r="L100" s="6" t="str">
        <f aca="false">IF(J100&gt;0,"Over Budget",IF(J100&lt;0,"Under Budget","On Budget"))</f>
        <v>Under Budget</v>
      </c>
    </row>
    <row r="101" customFormat="false" ht="15" hidden="false" customHeight="false" outlineLevel="0" collapsed="false">
      <c r="A101" s="3" t="n">
        <v>99</v>
      </c>
      <c r="B101" s="3" t="s">
        <v>78</v>
      </c>
      <c r="C101" s="3" t="s">
        <v>79</v>
      </c>
      <c r="D101" s="3" t="s">
        <v>77</v>
      </c>
      <c r="E101" s="3" t="s">
        <v>37</v>
      </c>
      <c r="F101" s="3" t="s">
        <v>17</v>
      </c>
      <c r="G101" s="3" t="s">
        <v>61</v>
      </c>
      <c r="H101" s="4" t="n">
        <v>298.31</v>
      </c>
      <c r="I101" s="4" t="n">
        <v>362.15</v>
      </c>
      <c r="J101" s="4" t="n">
        <f aca="false">I101-H101</f>
        <v>63.84</v>
      </c>
      <c r="K101" s="5" t="n">
        <f aca="false">IFERROR((I101-H101)/H101,0)</f>
        <v>0.214005564681036</v>
      </c>
      <c r="L101" s="3" t="str">
        <f aca="false">IF(J101&gt;0,"Over Budget",IF(J101&lt;0,"Under Budget","On Budget"))</f>
        <v>Over Budget</v>
      </c>
    </row>
    <row r="102" customFormat="false" ht="15" hidden="false" customHeight="false" outlineLevel="0" collapsed="false">
      <c r="A102" s="6" t="n">
        <v>100</v>
      </c>
      <c r="B102" s="6" t="s">
        <v>80</v>
      </c>
      <c r="C102" s="6" t="s">
        <v>81</v>
      </c>
      <c r="D102" s="6" t="s">
        <v>77</v>
      </c>
      <c r="E102" s="6" t="s">
        <v>16</v>
      </c>
      <c r="F102" s="6" t="s">
        <v>24</v>
      </c>
      <c r="G102" s="6" t="s">
        <v>18</v>
      </c>
      <c r="H102" s="7" t="n">
        <v>12892.1</v>
      </c>
      <c r="I102" s="7" t="n">
        <v>16128.37</v>
      </c>
      <c r="J102" s="7" t="n">
        <f aca="false">I102-H102</f>
        <v>3236.27</v>
      </c>
      <c r="K102" s="8" t="n">
        <f aca="false">IFERROR((I102-H102)/H102,0)</f>
        <v>0.251027373352673</v>
      </c>
      <c r="L102" s="6" t="str">
        <f aca="false">IF(J102&gt;0,"Over Budget",IF(J102&lt;0,"Under Budget","On Budget"))</f>
        <v>Over Budget</v>
      </c>
    </row>
    <row r="103" customFormat="false" ht="15" hidden="false" customHeight="false" outlineLevel="0" collapsed="false">
      <c r="A103" s="3" t="n">
        <v>101</v>
      </c>
      <c r="B103" s="3" t="s">
        <v>80</v>
      </c>
      <c r="C103" s="3" t="s">
        <v>81</v>
      </c>
      <c r="D103" s="3" t="s">
        <v>77</v>
      </c>
      <c r="E103" s="3" t="s">
        <v>19</v>
      </c>
      <c r="F103" s="3" t="s">
        <v>17</v>
      </c>
      <c r="G103" s="3" t="s">
        <v>50</v>
      </c>
      <c r="H103" s="4" t="n">
        <v>3964.55</v>
      </c>
      <c r="I103" s="4" t="n">
        <v>3849.65</v>
      </c>
      <c r="J103" s="4" t="n">
        <f aca="false">I103-H103</f>
        <v>-114.9</v>
      </c>
      <c r="K103" s="5" t="n">
        <f aca="false">IFERROR((I103-H103)/H103,0)</f>
        <v>-0.0289818516603398</v>
      </c>
      <c r="L103" s="3" t="str">
        <f aca="false">IF(J103&gt;0,"Over Budget",IF(J103&lt;0,"Under Budget","On Budget"))</f>
        <v>Under Budget</v>
      </c>
    </row>
    <row r="104" customFormat="false" ht="15" hidden="false" customHeight="false" outlineLevel="0" collapsed="false">
      <c r="A104" s="6" t="n">
        <v>102</v>
      </c>
      <c r="B104" s="6" t="s">
        <v>80</v>
      </c>
      <c r="C104" s="6" t="s">
        <v>81</v>
      </c>
      <c r="D104" s="6" t="s">
        <v>77</v>
      </c>
      <c r="E104" s="6" t="s">
        <v>21</v>
      </c>
      <c r="F104" s="6" t="s">
        <v>24</v>
      </c>
      <c r="G104" s="6" t="s">
        <v>57</v>
      </c>
      <c r="H104" s="7" t="n">
        <v>1506.68</v>
      </c>
      <c r="I104" s="7" t="n">
        <v>1329.13</v>
      </c>
      <c r="J104" s="7" t="n">
        <f aca="false">I104-H104</f>
        <v>-177.55</v>
      </c>
      <c r="K104" s="8" t="n">
        <f aca="false">IFERROR((I104-H104)/H104,0)</f>
        <v>-0.117841877505509</v>
      </c>
      <c r="L104" s="6" t="str">
        <f aca="false">IF(J104&gt;0,"Over Budget",IF(J104&lt;0,"Under Budget","On Budget"))</f>
        <v>Under Budget</v>
      </c>
    </row>
    <row r="105" customFormat="false" ht="15" hidden="false" customHeight="false" outlineLevel="0" collapsed="false">
      <c r="A105" s="3" t="n">
        <v>103</v>
      </c>
      <c r="B105" s="3" t="s">
        <v>80</v>
      </c>
      <c r="C105" s="3" t="s">
        <v>81</v>
      </c>
      <c r="D105" s="3" t="s">
        <v>77</v>
      </c>
      <c r="E105" s="3" t="s">
        <v>17</v>
      </c>
      <c r="F105" s="3" t="s">
        <v>35</v>
      </c>
      <c r="G105" s="3" t="s">
        <v>25</v>
      </c>
      <c r="H105" s="4" t="n">
        <v>3451.89</v>
      </c>
      <c r="I105" s="4" t="n">
        <v>2974.81</v>
      </c>
      <c r="J105" s="4" t="n">
        <f aca="false">I105-H105</f>
        <v>-477.08</v>
      </c>
      <c r="K105" s="5" t="n">
        <f aca="false">IFERROR((I105-H105)/H105,0)</f>
        <v>-0.138208343834827</v>
      </c>
      <c r="L105" s="3" t="str">
        <f aca="false">IF(J105&gt;0,"Over Budget",IF(J105&lt;0,"Under Budget","On Budget"))</f>
        <v>Under Budget</v>
      </c>
    </row>
    <row r="106" customFormat="false" ht="15" hidden="false" customHeight="false" outlineLevel="0" collapsed="false">
      <c r="A106" s="6" t="n">
        <v>104</v>
      </c>
      <c r="B106" s="6" t="s">
        <v>80</v>
      </c>
      <c r="C106" s="6" t="s">
        <v>81</v>
      </c>
      <c r="D106" s="6" t="s">
        <v>77</v>
      </c>
      <c r="E106" s="6" t="s">
        <v>26</v>
      </c>
      <c r="F106" s="6" t="s">
        <v>17</v>
      </c>
      <c r="G106" s="6" t="s">
        <v>74</v>
      </c>
      <c r="H106" s="7" t="n">
        <v>1112.09</v>
      </c>
      <c r="I106" s="7" t="n">
        <v>959.24</v>
      </c>
      <c r="J106" s="7" t="n">
        <f aca="false">I106-H106</f>
        <v>-152.85</v>
      </c>
      <c r="K106" s="8" t="n">
        <f aca="false">IFERROR((I106-H106)/H106,0)</f>
        <v>-0.137443911913604</v>
      </c>
      <c r="L106" s="6" t="str">
        <f aca="false">IF(J106&gt;0,"Over Budget",IF(J106&lt;0,"Under Budget","On Budget"))</f>
        <v>Under Budget</v>
      </c>
    </row>
    <row r="107" customFormat="false" ht="15" hidden="false" customHeight="false" outlineLevel="0" collapsed="false">
      <c r="A107" s="3" t="n">
        <v>105</v>
      </c>
      <c r="B107" s="3" t="s">
        <v>80</v>
      </c>
      <c r="C107" s="3" t="s">
        <v>81</v>
      </c>
      <c r="D107" s="3" t="s">
        <v>77</v>
      </c>
      <c r="E107" s="3" t="s">
        <v>29</v>
      </c>
      <c r="F107" s="3" t="s">
        <v>27</v>
      </c>
      <c r="G107" s="3" t="s">
        <v>30</v>
      </c>
      <c r="H107" s="4" t="n">
        <v>637.67</v>
      </c>
      <c r="I107" s="4" t="n">
        <v>594.89</v>
      </c>
      <c r="J107" s="4" t="n">
        <f aca="false">I107-H107</f>
        <v>-42.78</v>
      </c>
      <c r="K107" s="5" t="n">
        <f aca="false">IFERROR((I107-H107)/H107,0)</f>
        <v>-0.067087992221682</v>
      </c>
      <c r="L107" s="3" t="str">
        <f aca="false">IF(J107&gt;0,"Over Budget",IF(J107&lt;0,"Under Budget","On Budget"))</f>
        <v>Under Budget</v>
      </c>
    </row>
    <row r="108" customFormat="false" ht="15" hidden="false" customHeight="false" outlineLevel="0" collapsed="false">
      <c r="A108" s="6" t="n">
        <v>106</v>
      </c>
      <c r="B108" s="6" t="s">
        <v>80</v>
      </c>
      <c r="C108" s="6" t="s">
        <v>81</v>
      </c>
      <c r="D108" s="6" t="s">
        <v>77</v>
      </c>
      <c r="E108" s="6" t="s">
        <v>31</v>
      </c>
      <c r="F108" s="6" t="s">
        <v>17</v>
      </c>
      <c r="G108" s="6" t="s">
        <v>60</v>
      </c>
      <c r="H108" s="7" t="n">
        <v>3867.7</v>
      </c>
      <c r="I108" s="7" t="n">
        <v>3496.99</v>
      </c>
      <c r="J108" s="7" t="n">
        <f aca="false">I108-H108</f>
        <v>-370.71</v>
      </c>
      <c r="K108" s="8" t="n">
        <f aca="false">IFERROR((I108-H108)/H108,0)</f>
        <v>-0.0958476614008326</v>
      </c>
      <c r="L108" s="6" t="str">
        <f aca="false">IF(J108&gt;0,"Over Budget",IF(J108&lt;0,"Under Budget","On Budget"))</f>
        <v>Under Budget</v>
      </c>
    </row>
    <row r="109" customFormat="false" ht="15" hidden="false" customHeight="false" outlineLevel="0" collapsed="false">
      <c r="A109" s="3" t="n">
        <v>107</v>
      </c>
      <c r="B109" s="3" t="s">
        <v>80</v>
      </c>
      <c r="C109" s="3" t="s">
        <v>81</v>
      </c>
      <c r="D109" s="3" t="s">
        <v>77</v>
      </c>
      <c r="E109" s="3" t="s">
        <v>34</v>
      </c>
      <c r="F109" s="3" t="s">
        <v>32</v>
      </c>
      <c r="G109" s="3" t="s">
        <v>36</v>
      </c>
      <c r="H109" s="4" t="n">
        <v>461.99</v>
      </c>
      <c r="I109" s="4" t="n">
        <v>379.98</v>
      </c>
      <c r="J109" s="4" t="n">
        <f aca="false">I109-H109</f>
        <v>-82.01</v>
      </c>
      <c r="K109" s="5" t="n">
        <f aca="false">IFERROR((I109-H109)/H109,0)</f>
        <v>-0.177514664819585</v>
      </c>
      <c r="L109" s="3" t="str">
        <f aca="false">IF(J109&gt;0,"Over Budget",IF(J109&lt;0,"Under Budget","On Budget"))</f>
        <v>Under Budget</v>
      </c>
    </row>
    <row r="110" customFormat="false" ht="15" hidden="false" customHeight="false" outlineLevel="0" collapsed="false">
      <c r="A110" s="6" t="n">
        <v>108</v>
      </c>
      <c r="B110" s="6" t="s">
        <v>80</v>
      </c>
      <c r="C110" s="6" t="s">
        <v>81</v>
      </c>
      <c r="D110" s="6" t="s">
        <v>77</v>
      </c>
      <c r="E110" s="6" t="s">
        <v>37</v>
      </c>
      <c r="F110" s="6" t="s">
        <v>32</v>
      </c>
      <c r="G110" s="6" t="s">
        <v>46</v>
      </c>
      <c r="H110" s="7" t="n">
        <v>174.17</v>
      </c>
      <c r="I110" s="7" t="n">
        <v>199.56</v>
      </c>
      <c r="J110" s="7" t="n">
        <f aca="false">I110-H110</f>
        <v>25.39</v>
      </c>
      <c r="K110" s="8" t="n">
        <f aca="false">IFERROR((I110-H110)/H110,0)</f>
        <v>0.145777114313602</v>
      </c>
      <c r="L110" s="6" t="str">
        <f aca="false">IF(J110&gt;0,"Over Budget",IF(J110&lt;0,"Under Budget","On Budget"))</f>
        <v>Over Budget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4" min="1" style="0" width="3.8"/>
  </cols>
  <sheetData>
    <row r="1" customFormat="false" ht="37.5" hidden="false" customHeight="true" outlineLevel="0" collapsed="false">
      <c r="A1" s="9" t="s">
        <v>82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customFormat="false" ht="18" hidden="false" customHeight="true" outlineLevel="0" collapsed="false">
      <c r="A2" s="10" t="s">
        <v>83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customFormat="false" ht="7.5" hidden="false" customHeight="true" outlineLevel="0" collapsed="false"/>
    <row r="4" customFormat="false" ht="15.75" hidden="false" customHeight="true" outlineLevel="0" collapsed="false">
      <c r="A4" s="11" t="s">
        <v>84</v>
      </c>
      <c r="B4" s="11"/>
      <c r="C4" s="11"/>
      <c r="D4" s="11"/>
      <c r="E4" s="11"/>
      <c r="F4" s="11"/>
      <c r="G4" s="11"/>
      <c r="H4" s="12" t="s">
        <v>85</v>
      </c>
      <c r="I4" s="12"/>
      <c r="J4" s="12"/>
      <c r="K4" s="12"/>
      <c r="L4" s="12"/>
      <c r="M4" s="12"/>
      <c r="N4" s="12"/>
      <c r="O4" s="13" t="s">
        <v>86</v>
      </c>
      <c r="P4" s="13"/>
      <c r="Q4" s="13"/>
      <c r="R4" s="13"/>
      <c r="S4" s="13"/>
      <c r="T4" s="13"/>
      <c r="U4" s="13"/>
      <c r="V4" s="12" t="s">
        <v>87</v>
      </c>
      <c r="W4" s="12"/>
      <c r="X4" s="12"/>
      <c r="Y4" s="12"/>
      <c r="Z4" s="12"/>
      <c r="AA4" s="12"/>
      <c r="AB4" s="12"/>
      <c r="AC4" s="14" t="s">
        <v>88</v>
      </c>
      <c r="AD4" s="14"/>
      <c r="AE4" s="14"/>
      <c r="AF4" s="14"/>
      <c r="AG4" s="14"/>
      <c r="AH4" s="14"/>
      <c r="AI4" s="14"/>
    </row>
    <row r="5" customFormat="false" ht="27.75" hidden="false" customHeight="true" outlineLevel="0" collapsed="false">
      <c r="A5" s="11"/>
      <c r="B5" s="11"/>
      <c r="C5" s="11"/>
      <c r="D5" s="11"/>
      <c r="E5" s="11"/>
      <c r="F5" s="11"/>
      <c r="G5" s="11"/>
      <c r="H5" s="12"/>
      <c r="I5" s="12"/>
      <c r="J5" s="12"/>
      <c r="K5" s="12"/>
      <c r="L5" s="12"/>
      <c r="M5" s="12"/>
      <c r="N5" s="12"/>
      <c r="O5" s="13"/>
      <c r="P5" s="13"/>
      <c r="Q5" s="13"/>
      <c r="R5" s="13"/>
      <c r="S5" s="13"/>
      <c r="T5" s="13"/>
      <c r="U5" s="13"/>
      <c r="V5" s="12"/>
      <c r="W5" s="12"/>
      <c r="X5" s="12"/>
      <c r="Y5" s="12"/>
      <c r="Z5" s="12"/>
      <c r="AA5" s="12"/>
      <c r="AB5" s="12"/>
      <c r="AC5" s="14"/>
      <c r="AD5" s="14"/>
      <c r="AE5" s="14"/>
      <c r="AF5" s="14"/>
      <c r="AG5" s="14"/>
      <c r="AH5" s="14"/>
      <c r="AI5" s="14"/>
    </row>
    <row r="6" customFormat="false" ht="15.75" hidden="false" customHeight="true" outlineLevel="0" collapsed="false">
      <c r="A6" s="15" t="n">
        <f aca="false">SUMIF('Expense Data'!E:E,"&lt;&gt;",'Expense Data'!H:H)</f>
        <v>334609.55</v>
      </c>
      <c r="B6" s="15"/>
      <c r="C6" s="15"/>
      <c r="D6" s="15"/>
      <c r="E6" s="15"/>
      <c r="F6" s="15"/>
      <c r="G6" s="15"/>
      <c r="H6" s="16" t="n">
        <f aca="false">SUMIF('Expense Data'!E:E,"&lt;&gt;",'Expense Data'!I:I)</f>
        <v>331271.77</v>
      </c>
      <c r="I6" s="16"/>
      <c r="J6" s="16"/>
      <c r="K6" s="16"/>
      <c r="L6" s="16"/>
      <c r="M6" s="16"/>
      <c r="N6" s="16"/>
      <c r="O6" s="17" t="n">
        <f aca="false">SUMIF('Expense Data'!E:E,"&lt;&gt;",'Expense Data'!J:J)</f>
        <v>-3337.78</v>
      </c>
      <c r="P6" s="17"/>
      <c r="Q6" s="17"/>
      <c r="R6" s="17"/>
      <c r="S6" s="17"/>
      <c r="T6" s="17"/>
      <c r="U6" s="17"/>
      <c r="V6" s="18" t="n">
        <f aca="false">COUNTIF('Expense Data'!L:L,"Over Budget")</f>
        <v>33</v>
      </c>
      <c r="W6" s="18"/>
      <c r="X6" s="18"/>
      <c r="Y6" s="18"/>
      <c r="Z6" s="18"/>
      <c r="AA6" s="18"/>
      <c r="AB6" s="18"/>
      <c r="AC6" s="19" t="n">
        <f aca="false">COUNTIF('Expense Data'!L:L,"Under Budget")</f>
        <v>75</v>
      </c>
      <c r="AD6" s="19"/>
      <c r="AE6" s="19"/>
      <c r="AF6" s="19"/>
      <c r="AG6" s="19"/>
      <c r="AH6" s="19"/>
      <c r="AI6" s="19"/>
    </row>
    <row r="7" customFormat="false" ht="27.75" hidden="false" customHeight="true" outlineLevel="0" collapsed="false">
      <c r="A7" s="15"/>
      <c r="B7" s="15"/>
      <c r="C7" s="15"/>
      <c r="D7" s="15"/>
      <c r="E7" s="15"/>
      <c r="F7" s="15"/>
      <c r="G7" s="15"/>
      <c r="H7" s="16"/>
      <c r="I7" s="16"/>
      <c r="J7" s="16"/>
      <c r="K7" s="16"/>
      <c r="L7" s="16"/>
      <c r="M7" s="16"/>
      <c r="N7" s="16"/>
      <c r="O7" s="17"/>
      <c r="P7" s="17"/>
      <c r="Q7" s="17"/>
      <c r="R7" s="17"/>
      <c r="S7" s="17"/>
      <c r="T7" s="17"/>
      <c r="U7" s="17"/>
      <c r="V7" s="18"/>
      <c r="W7" s="18"/>
      <c r="X7" s="18"/>
      <c r="Y7" s="18"/>
      <c r="Z7" s="18"/>
      <c r="AA7" s="18"/>
      <c r="AB7" s="18"/>
      <c r="AC7" s="19"/>
      <c r="AD7" s="19"/>
      <c r="AE7" s="19"/>
      <c r="AF7" s="19"/>
      <c r="AG7" s="19"/>
      <c r="AH7" s="19"/>
      <c r="AI7" s="19"/>
    </row>
    <row r="8" customFormat="false" ht="9.75" hidden="false" customHeight="true" outlineLevel="0" collapsed="false">
      <c r="A8" s="20"/>
      <c r="B8" s="20"/>
      <c r="C8" s="20"/>
      <c r="D8" s="20"/>
      <c r="E8" s="20"/>
      <c r="F8" s="20"/>
      <c r="G8" s="20"/>
      <c r="H8" s="21"/>
      <c r="I8" s="21"/>
      <c r="J8" s="21"/>
      <c r="K8" s="21"/>
      <c r="L8" s="21"/>
      <c r="M8" s="21"/>
      <c r="N8" s="21"/>
      <c r="O8" s="22"/>
      <c r="P8" s="22"/>
      <c r="Q8" s="22"/>
      <c r="R8" s="22"/>
      <c r="S8" s="22"/>
      <c r="T8" s="22"/>
      <c r="U8" s="22"/>
      <c r="V8" s="21"/>
      <c r="W8" s="21"/>
      <c r="X8" s="21"/>
      <c r="Y8" s="21"/>
      <c r="Z8" s="21"/>
      <c r="AA8" s="21"/>
      <c r="AB8" s="21"/>
      <c r="AC8" s="23"/>
      <c r="AD8" s="23"/>
      <c r="AE8" s="23"/>
      <c r="AF8" s="23"/>
      <c r="AG8" s="23"/>
      <c r="AH8" s="23"/>
      <c r="AI8" s="23"/>
    </row>
    <row r="9" customFormat="false" ht="6" hidden="false" customHeight="true" outlineLevel="0" collapsed="false"/>
    <row r="10" customFormat="false" ht="19.5" hidden="false" customHeight="true" outlineLevel="0" collapsed="false">
      <c r="A10" s="24" t="s">
        <v>89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 t="s">
        <v>90</v>
      </c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customFormat="false" ht="19.5" hidden="false" customHeight="true" outlineLevel="0" collapsed="false">
      <c r="A11" s="25" t="s">
        <v>5</v>
      </c>
      <c r="B11" s="25"/>
      <c r="C11" s="25"/>
      <c r="D11" s="25"/>
      <c r="E11" s="25"/>
      <c r="F11" s="25"/>
      <c r="G11" s="25" t="s">
        <v>91</v>
      </c>
      <c r="H11" s="25"/>
      <c r="I11" s="25"/>
      <c r="J11" s="25"/>
      <c r="K11" s="25"/>
      <c r="L11" s="25" t="s">
        <v>92</v>
      </c>
      <c r="M11" s="25"/>
      <c r="N11" s="25"/>
      <c r="O11" s="25"/>
      <c r="P11" s="25"/>
      <c r="Q11" s="25" t="s">
        <v>93</v>
      </c>
      <c r="R11" s="25"/>
      <c r="S11" s="25"/>
      <c r="T11" s="25"/>
      <c r="U11" s="25"/>
      <c r="V11" s="25" t="s">
        <v>11</v>
      </c>
      <c r="W11" s="25"/>
      <c r="X11" s="25"/>
      <c r="Y11" s="25"/>
      <c r="Z11" s="25"/>
      <c r="AA11" s="25" t="s">
        <v>12</v>
      </c>
      <c r="AB11" s="25"/>
      <c r="AC11" s="25"/>
      <c r="AD11" s="25"/>
      <c r="AE11" s="25"/>
      <c r="AF11" s="25"/>
    </row>
    <row r="12" customFormat="false" ht="18" hidden="false" customHeight="true" outlineLevel="0" collapsed="false">
      <c r="A12" s="26" t="s">
        <v>16</v>
      </c>
      <c r="B12" s="26"/>
      <c r="C12" s="26"/>
      <c r="D12" s="26"/>
      <c r="E12" s="26"/>
      <c r="F12" s="26"/>
      <c r="G12" s="27" t="n">
        <f aca="false">SUMIF('Expense Data'!E:E,"Salaries",'Expense Data'!H:H)</f>
        <v>136016.54</v>
      </c>
      <c r="H12" s="27"/>
      <c r="I12" s="27"/>
      <c r="J12" s="27"/>
      <c r="K12" s="27"/>
      <c r="L12" s="27" t="n">
        <f aca="false">SUMIF('Expense Data'!E:E,"Salaries",'Expense Data'!I:I)</f>
        <v>144250.53</v>
      </c>
      <c r="M12" s="27"/>
      <c r="N12" s="27"/>
      <c r="O12" s="27"/>
      <c r="P12" s="27"/>
      <c r="Q12" s="27" t="n">
        <f aca="false">H12-G12</f>
        <v>-136016.54</v>
      </c>
      <c r="R12" s="27"/>
      <c r="S12" s="27"/>
      <c r="T12" s="27"/>
      <c r="U12" s="27"/>
      <c r="V12" s="28" t="n">
        <f aca="false">IFERROR(I12/G12-1,0)</f>
        <v>-1</v>
      </c>
      <c r="W12" s="28"/>
      <c r="X12" s="28"/>
      <c r="Y12" s="28"/>
      <c r="Z12" s="28"/>
      <c r="AA12" s="29" t="str">
        <f aca="false">IF(I12&gt;0,"▲ Over","▼ Under")</f>
        <v>▼ Under</v>
      </c>
      <c r="AB12" s="29"/>
      <c r="AC12" s="29"/>
      <c r="AD12" s="29"/>
      <c r="AE12" s="29"/>
      <c r="AF12" s="29"/>
    </row>
    <row r="13" customFormat="false" ht="18" hidden="false" customHeight="true" outlineLevel="0" collapsed="false">
      <c r="A13" s="30" t="s">
        <v>19</v>
      </c>
      <c r="B13" s="30"/>
      <c r="C13" s="30"/>
      <c r="D13" s="30"/>
      <c r="E13" s="30"/>
      <c r="F13" s="30"/>
      <c r="G13" s="31" t="n">
        <f aca="false">SUMIF('Expense Data'!E:E,"Rent &amp; Utilities",'Expense Data'!H:H)</f>
        <v>49883.81</v>
      </c>
      <c r="H13" s="31"/>
      <c r="I13" s="31"/>
      <c r="J13" s="31"/>
      <c r="K13" s="31"/>
      <c r="L13" s="31" t="n">
        <f aca="false">SUMIF('Expense Data'!E:E,"Rent &amp; Utilities",'Expense Data'!I:I)</f>
        <v>49944.7</v>
      </c>
      <c r="M13" s="31"/>
      <c r="N13" s="31"/>
      <c r="O13" s="31"/>
      <c r="P13" s="31"/>
      <c r="Q13" s="31" t="n">
        <f aca="false">H13-G13</f>
        <v>-49883.81</v>
      </c>
      <c r="R13" s="31"/>
      <c r="S13" s="31"/>
      <c r="T13" s="31"/>
      <c r="U13" s="31"/>
      <c r="V13" s="32" t="n">
        <f aca="false">IFERROR(I13/G13-1,0)</f>
        <v>-1</v>
      </c>
      <c r="W13" s="32"/>
      <c r="X13" s="32"/>
      <c r="Y13" s="32"/>
      <c r="Z13" s="32"/>
      <c r="AA13" s="33" t="str">
        <f aca="false">IF(I13&gt;0,"▲ Over","▼ Under")</f>
        <v>▼ Under</v>
      </c>
      <c r="AB13" s="33"/>
      <c r="AC13" s="33"/>
      <c r="AD13" s="33"/>
      <c r="AE13" s="33"/>
      <c r="AF13" s="33"/>
    </row>
    <row r="14" customFormat="false" ht="18" hidden="false" customHeight="true" outlineLevel="0" collapsed="false">
      <c r="A14" s="26" t="s">
        <v>21</v>
      </c>
      <c r="B14" s="26"/>
      <c r="C14" s="26"/>
      <c r="D14" s="26"/>
      <c r="E14" s="26"/>
      <c r="F14" s="26"/>
      <c r="G14" s="27" t="n">
        <f aca="false">SUMIF('Expense Data'!E:E,"IT &amp; Software",'Expense Data'!H:H)</f>
        <v>26805.54</v>
      </c>
      <c r="H14" s="27"/>
      <c r="I14" s="27"/>
      <c r="J14" s="27"/>
      <c r="K14" s="27"/>
      <c r="L14" s="27" t="n">
        <f aca="false">SUMIF('Expense Data'!E:E,"IT &amp; Software",'Expense Data'!I:I)</f>
        <v>26387.88</v>
      </c>
      <c r="M14" s="27"/>
      <c r="N14" s="27"/>
      <c r="O14" s="27"/>
      <c r="P14" s="27"/>
      <c r="Q14" s="27" t="n">
        <f aca="false">H14-G14</f>
        <v>-26805.54</v>
      </c>
      <c r="R14" s="27"/>
      <c r="S14" s="27"/>
      <c r="T14" s="27"/>
      <c r="U14" s="27"/>
      <c r="V14" s="28" t="n">
        <f aca="false">IFERROR(I14/G14-1,0)</f>
        <v>-1</v>
      </c>
      <c r="W14" s="28"/>
      <c r="X14" s="28"/>
      <c r="Y14" s="28"/>
      <c r="Z14" s="28"/>
      <c r="AA14" s="29" t="str">
        <f aca="false">IF(I14&gt;0,"▲ Over","▼ Under")</f>
        <v>▼ Under</v>
      </c>
      <c r="AB14" s="29"/>
      <c r="AC14" s="29"/>
      <c r="AD14" s="29"/>
      <c r="AE14" s="29"/>
      <c r="AF14" s="29"/>
    </row>
    <row r="15" customFormat="false" ht="18" hidden="false" customHeight="true" outlineLevel="0" collapsed="false">
      <c r="A15" s="30" t="s">
        <v>17</v>
      </c>
      <c r="B15" s="30"/>
      <c r="C15" s="30"/>
      <c r="D15" s="30"/>
      <c r="E15" s="30"/>
      <c r="F15" s="30"/>
      <c r="G15" s="31" t="n">
        <f aca="false">SUMIF('Expense Data'!E:E,"Marketing",'Expense Data'!H:H)</f>
        <v>47561.04</v>
      </c>
      <c r="H15" s="31"/>
      <c r="I15" s="31"/>
      <c r="J15" s="31"/>
      <c r="K15" s="31"/>
      <c r="L15" s="31" t="n">
        <f aca="false">SUMIF('Expense Data'!E:E,"Marketing",'Expense Data'!I:I)</f>
        <v>41721.28</v>
      </c>
      <c r="M15" s="31"/>
      <c r="N15" s="31"/>
      <c r="O15" s="31"/>
      <c r="P15" s="31"/>
      <c r="Q15" s="31" t="n">
        <f aca="false">H15-G15</f>
        <v>-47561.04</v>
      </c>
      <c r="R15" s="31"/>
      <c r="S15" s="31"/>
      <c r="T15" s="31"/>
      <c r="U15" s="31"/>
      <c r="V15" s="32" t="n">
        <f aca="false">IFERROR(I15/G15-1,0)</f>
        <v>-1</v>
      </c>
      <c r="W15" s="32"/>
      <c r="X15" s="32"/>
      <c r="Y15" s="32"/>
      <c r="Z15" s="32"/>
      <c r="AA15" s="33" t="str">
        <f aca="false">IF(I15&gt;0,"▲ Over","▼ Under")</f>
        <v>▼ Under</v>
      </c>
      <c r="AB15" s="33"/>
      <c r="AC15" s="33"/>
      <c r="AD15" s="33"/>
      <c r="AE15" s="33"/>
      <c r="AF15" s="33"/>
    </row>
    <row r="16" customFormat="false" ht="18" hidden="false" customHeight="true" outlineLevel="0" collapsed="false">
      <c r="A16" s="26" t="s">
        <v>26</v>
      </c>
      <c r="B16" s="26"/>
      <c r="C16" s="26"/>
      <c r="D16" s="26"/>
      <c r="E16" s="26"/>
      <c r="F16" s="26"/>
      <c r="G16" s="27" t="n">
        <f aca="false">SUMIF('Expense Data'!E:E,"Travel",'Expense Data'!H:H)</f>
        <v>14881.17</v>
      </c>
      <c r="H16" s="27"/>
      <c r="I16" s="27"/>
      <c r="J16" s="27"/>
      <c r="K16" s="27"/>
      <c r="L16" s="27" t="n">
        <f aca="false">SUMIF('Expense Data'!E:E,"Travel",'Expense Data'!I:I)</f>
        <v>13375.02</v>
      </c>
      <c r="M16" s="27"/>
      <c r="N16" s="27"/>
      <c r="O16" s="27"/>
      <c r="P16" s="27"/>
      <c r="Q16" s="27" t="n">
        <f aca="false">H16-G16</f>
        <v>-14881.17</v>
      </c>
      <c r="R16" s="27"/>
      <c r="S16" s="27"/>
      <c r="T16" s="27"/>
      <c r="U16" s="27"/>
      <c r="V16" s="28" t="n">
        <f aca="false">IFERROR(I16/G16-1,0)</f>
        <v>-1</v>
      </c>
      <c r="W16" s="28"/>
      <c r="X16" s="28"/>
      <c r="Y16" s="28"/>
      <c r="Z16" s="28"/>
      <c r="AA16" s="29" t="str">
        <f aca="false">IF(I16&gt;0,"▲ Over","▼ Under")</f>
        <v>▼ Under</v>
      </c>
      <c r="AB16" s="29"/>
      <c r="AC16" s="29"/>
      <c r="AD16" s="29"/>
      <c r="AE16" s="29"/>
      <c r="AF16" s="29"/>
    </row>
    <row r="17" customFormat="false" ht="18" hidden="false" customHeight="true" outlineLevel="0" collapsed="false">
      <c r="A17" s="30" t="s">
        <v>29</v>
      </c>
      <c r="B17" s="30"/>
      <c r="C17" s="30"/>
      <c r="D17" s="30"/>
      <c r="E17" s="30"/>
      <c r="F17" s="30"/>
      <c r="G17" s="31" t="n">
        <f aca="false">SUMIF('Expense Data'!E:E,"Office Supplies",'Expense Data'!H:H)</f>
        <v>6945.68</v>
      </c>
      <c r="H17" s="31"/>
      <c r="I17" s="31"/>
      <c r="J17" s="31"/>
      <c r="K17" s="31"/>
      <c r="L17" s="31" t="n">
        <f aca="false">SUMIF('Expense Data'!E:E,"Office Supplies",'Expense Data'!I:I)</f>
        <v>7323.2</v>
      </c>
      <c r="M17" s="31"/>
      <c r="N17" s="31"/>
      <c r="O17" s="31"/>
      <c r="P17" s="31"/>
      <c r="Q17" s="31" t="n">
        <f aca="false">H17-G17</f>
        <v>-6945.68</v>
      </c>
      <c r="R17" s="31"/>
      <c r="S17" s="31"/>
      <c r="T17" s="31"/>
      <c r="U17" s="31"/>
      <c r="V17" s="32" t="n">
        <f aca="false">IFERROR(I17/G17-1,0)</f>
        <v>-1</v>
      </c>
      <c r="W17" s="32"/>
      <c r="X17" s="32"/>
      <c r="Y17" s="32"/>
      <c r="Z17" s="32"/>
      <c r="AA17" s="33" t="str">
        <f aca="false">IF(I17&gt;0,"▲ Over","▼ Under")</f>
        <v>▼ Under</v>
      </c>
      <c r="AB17" s="33"/>
      <c r="AC17" s="33"/>
      <c r="AD17" s="33"/>
      <c r="AE17" s="33"/>
      <c r="AF17" s="33"/>
    </row>
    <row r="18" customFormat="false" ht="18" hidden="false" customHeight="true" outlineLevel="0" collapsed="false">
      <c r="A18" s="26" t="s">
        <v>31</v>
      </c>
      <c r="B18" s="26"/>
      <c r="C18" s="26"/>
      <c r="D18" s="26"/>
      <c r="E18" s="26"/>
      <c r="F18" s="26"/>
      <c r="G18" s="27" t="n">
        <f aca="false">SUMIF('Expense Data'!E:E,"Professional Services",'Expense Data'!H:H)</f>
        <v>39354.37</v>
      </c>
      <c r="H18" s="27"/>
      <c r="I18" s="27"/>
      <c r="J18" s="27"/>
      <c r="K18" s="27"/>
      <c r="L18" s="27" t="n">
        <f aca="false">SUMIF('Expense Data'!E:E,"Professional Services",'Expense Data'!I:I)</f>
        <v>36215.68</v>
      </c>
      <c r="M18" s="27"/>
      <c r="N18" s="27"/>
      <c r="O18" s="27"/>
      <c r="P18" s="27"/>
      <c r="Q18" s="27" t="n">
        <f aca="false">H18-G18</f>
        <v>-39354.37</v>
      </c>
      <c r="R18" s="27"/>
      <c r="S18" s="27"/>
      <c r="T18" s="27"/>
      <c r="U18" s="27"/>
      <c r="V18" s="28" t="n">
        <f aca="false">IFERROR(I18/G18-1,0)</f>
        <v>-1</v>
      </c>
      <c r="W18" s="28"/>
      <c r="X18" s="28"/>
      <c r="Y18" s="28"/>
      <c r="Z18" s="28"/>
      <c r="AA18" s="29" t="str">
        <f aca="false">IF(I18&gt;0,"▲ Over","▼ Under")</f>
        <v>▼ Under</v>
      </c>
      <c r="AB18" s="29"/>
      <c r="AC18" s="29"/>
      <c r="AD18" s="29"/>
      <c r="AE18" s="29"/>
      <c r="AF18" s="29"/>
    </row>
    <row r="19" customFormat="false" ht="18" hidden="false" customHeight="true" outlineLevel="0" collapsed="false">
      <c r="A19" s="30" t="s">
        <v>34</v>
      </c>
      <c r="B19" s="30"/>
      <c r="C19" s="30"/>
      <c r="D19" s="30"/>
      <c r="E19" s="30"/>
      <c r="F19" s="30"/>
      <c r="G19" s="31" t="n">
        <f aca="false">SUMIF('Expense Data'!E:E,"Training",'Expense Data'!H:H)</f>
        <v>9689.47</v>
      </c>
      <c r="H19" s="31"/>
      <c r="I19" s="31"/>
      <c r="J19" s="31"/>
      <c r="K19" s="31"/>
      <c r="L19" s="31" t="n">
        <f aca="false">SUMIF('Expense Data'!E:E,"Training",'Expense Data'!I:I)</f>
        <v>8773.6</v>
      </c>
      <c r="M19" s="31"/>
      <c r="N19" s="31"/>
      <c r="O19" s="31"/>
      <c r="P19" s="31"/>
      <c r="Q19" s="31" t="n">
        <f aca="false">H19-G19</f>
        <v>-9689.47</v>
      </c>
      <c r="R19" s="31"/>
      <c r="S19" s="31"/>
      <c r="T19" s="31"/>
      <c r="U19" s="31"/>
      <c r="V19" s="32" t="n">
        <f aca="false">IFERROR(I19/G19-1,0)</f>
        <v>-1</v>
      </c>
      <c r="W19" s="32"/>
      <c r="X19" s="32"/>
      <c r="Y19" s="32"/>
      <c r="Z19" s="32"/>
      <c r="AA19" s="33" t="str">
        <f aca="false">IF(I19&gt;0,"▲ Over","▼ Under")</f>
        <v>▼ Under</v>
      </c>
      <c r="AB19" s="33"/>
      <c r="AC19" s="33"/>
      <c r="AD19" s="33"/>
      <c r="AE19" s="33"/>
      <c r="AF19" s="33"/>
    </row>
    <row r="20" customFormat="false" ht="18" hidden="false" customHeight="true" outlineLevel="0" collapsed="false">
      <c r="A20" s="26" t="s">
        <v>37</v>
      </c>
      <c r="B20" s="26"/>
      <c r="C20" s="26"/>
      <c r="D20" s="26"/>
      <c r="E20" s="26"/>
      <c r="F20" s="26"/>
      <c r="G20" s="27" t="n">
        <f aca="false">SUMIF('Expense Data'!E:E,"Miscellaneous",'Expense Data'!H:H)</f>
        <v>3471.93</v>
      </c>
      <c r="H20" s="27"/>
      <c r="I20" s="27"/>
      <c r="J20" s="27"/>
      <c r="K20" s="27"/>
      <c r="L20" s="27" t="n">
        <f aca="false">SUMIF('Expense Data'!E:E,"Miscellaneous",'Expense Data'!I:I)</f>
        <v>3279.88</v>
      </c>
      <c r="M20" s="27"/>
      <c r="N20" s="27"/>
      <c r="O20" s="27"/>
      <c r="P20" s="27"/>
      <c r="Q20" s="27" t="n">
        <f aca="false">H20-G20</f>
        <v>-3471.93</v>
      </c>
      <c r="R20" s="27"/>
      <c r="S20" s="27"/>
      <c r="T20" s="27"/>
      <c r="U20" s="27"/>
      <c r="V20" s="28" t="n">
        <f aca="false">IFERROR(I20/G20-1,0)</f>
        <v>-1</v>
      </c>
      <c r="W20" s="28"/>
      <c r="X20" s="28"/>
      <c r="Y20" s="28"/>
      <c r="Z20" s="28"/>
      <c r="AA20" s="29" t="str">
        <f aca="false">IF(I20&gt;0,"▲ Over","▼ Under")</f>
        <v>▼ Under</v>
      </c>
      <c r="AB20" s="29"/>
      <c r="AC20" s="29"/>
      <c r="AD20" s="29"/>
      <c r="AE20" s="29"/>
      <c r="AF20" s="29"/>
    </row>
    <row r="21" customFormat="false" ht="19.5" hidden="false" customHeight="true" outlineLevel="0" collapsed="false">
      <c r="A21" s="34" t="s">
        <v>94</v>
      </c>
      <c r="B21" s="34"/>
      <c r="C21" s="34"/>
      <c r="D21" s="34"/>
      <c r="E21" s="34"/>
      <c r="F21" s="34"/>
      <c r="G21" s="35" t="n">
        <f aca="false">SUM(G12:G20)</f>
        <v>334609.55</v>
      </c>
      <c r="H21" s="35"/>
      <c r="I21" s="35"/>
      <c r="J21" s="35"/>
      <c r="K21" s="35"/>
      <c r="L21" s="35" t="n">
        <f aca="false">SUM(H12:H20)</f>
        <v>0</v>
      </c>
      <c r="M21" s="35"/>
      <c r="N21" s="35"/>
      <c r="O21" s="35"/>
      <c r="P21" s="35"/>
      <c r="Q21" s="35" t="n">
        <f aca="false">SUM(I12:I20)</f>
        <v>0</v>
      </c>
      <c r="R21" s="35"/>
      <c r="S21" s="35"/>
      <c r="T21" s="35"/>
      <c r="U21" s="35"/>
      <c r="V21" s="36" t="n">
        <f aca="false">IFERROR(H21/G21-1,0)</f>
        <v>-1</v>
      </c>
      <c r="W21" s="36"/>
      <c r="X21" s="36"/>
      <c r="Y21" s="36"/>
      <c r="Z21" s="36"/>
      <c r="AA21" s="36"/>
      <c r="AB21" s="36"/>
      <c r="AC21" s="36"/>
      <c r="AD21" s="36"/>
      <c r="AE21" s="36"/>
      <c r="AF21" s="36"/>
    </row>
    <row r="34" customFormat="false" ht="6" hidden="false" customHeight="true" outlineLevel="0" collapsed="false">
      <c r="S34" s="37" t="s">
        <v>3</v>
      </c>
      <c r="T34" s="37" t="s">
        <v>91</v>
      </c>
      <c r="U34" s="37" t="s">
        <v>92</v>
      </c>
    </row>
    <row r="35" customFormat="false" ht="15.75" hidden="false" customHeight="true" outlineLevel="0" collapsed="false">
      <c r="S35" s="38" t="s">
        <v>14</v>
      </c>
      <c r="T35" s="39" t="n">
        <f aca="false">SUMIFS('Expense Data'!H:H,'Expense Data'!C:C,"Jan")</f>
        <v>22825.81</v>
      </c>
      <c r="U35" s="39" t="n">
        <f aca="false">SUMIFS('Expense Data'!I:I,'Expense Data'!C:C,"Jan")</f>
        <v>22859.04</v>
      </c>
    </row>
    <row r="36" customFormat="false" ht="15.75" hidden="false" customHeight="true" outlineLevel="0" collapsed="false">
      <c r="S36" s="40" t="s">
        <v>40</v>
      </c>
      <c r="T36" s="41" t="n">
        <f aca="false">SUMIFS('Expense Data'!H:H,'Expense Data'!C:C,"Feb")</f>
        <v>29290.46</v>
      </c>
      <c r="U36" s="41" t="n">
        <f aca="false">SUMIFS('Expense Data'!I:I,'Expense Data'!C:C,"Feb")</f>
        <v>29746.87</v>
      </c>
    </row>
    <row r="37" customFormat="false" ht="15.75" hidden="false" customHeight="true" outlineLevel="0" collapsed="false">
      <c r="S37" s="38" t="s">
        <v>48</v>
      </c>
      <c r="T37" s="39" t="n">
        <f aca="false">SUMIFS('Expense Data'!H:H,'Expense Data'!C:C,"Mar")</f>
        <v>25055.76</v>
      </c>
      <c r="U37" s="39" t="n">
        <f aca="false">SUMIFS('Expense Data'!I:I,'Expense Data'!C:C,"Mar")</f>
        <v>22388.18</v>
      </c>
    </row>
    <row r="38" customFormat="false" ht="15.75" hidden="false" customHeight="true" outlineLevel="0" collapsed="false">
      <c r="S38" s="40" t="s">
        <v>55</v>
      </c>
      <c r="T38" s="41" t="n">
        <f aca="false">SUMIFS('Expense Data'!H:H,'Expense Data'!C:C,"Apr")</f>
        <v>33062.11</v>
      </c>
      <c r="U38" s="41" t="n">
        <f aca="false">SUMIFS('Expense Data'!I:I,'Expense Data'!C:C,"Apr")</f>
        <v>33017.18</v>
      </c>
    </row>
    <row r="39" customFormat="false" ht="15.75" hidden="false" customHeight="true" outlineLevel="0" collapsed="false">
      <c r="S39" s="38" t="s">
        <v>63</v>
      </c>
      <c r="T39" s="39" t="n">
        <f aca="false">SUMIFS('Expense Data'!H:H,'Expense Data'!C:C,"May")</f>
        <v>24132.53</v>
      </c>
      <c r="U39" s="39" t="n">
        <f aca="false">SUMIFS('Expense Data'!I:I,'Expense Data'!C:C,"May")</f>
        <v>22121.62</v>
      </c>
    </row>
    <row r="40" customFormat="false" ht="15.75" hidden="false" customHeight="true" outlineLevel="0" collapsed="false">
      <c r="S40" s="40" t="s">
        <v>65</v>
      </c>
      <c r="T40" s="41" t="n">
        <f aca="false">SUMIFS('Expense Data'!H:H,'Expense Data'!C:C,"Jun")</f>
        <v>27909.44</v>
      </c>
      <c r="U40" s="41" t="n">
        <f aca="false">SUMIFS('Expense Data'!I:I,'Expense Data'!C:C,"Jun")</f>
        <v>26309.05</v>
      </c>
    </row>
    <row r="41" customFormat="false" ht="15.75" hidden="false" customHeight="true" outlineLevel="0" collapsed="false">
      <c r="S41" s="38" t="s">
        <v>67</v>
      </c>
      <c r="T41" s="39" t="n">
        <f aca="false">SUMIFS('Expense Data'!H:H,'Expense Data'!C:C,"Jul")</f>
        <v>27350.85</v>
      </c>
      <c r="U41" s="39" t="n">
        <f aca="false">SUMIFS('Expense Data'!I:I,'Expense Data'!C:C,"Jul")</f>
        <v>27450.03</v>
      </c>
    </row>
    <row r="42" customFormat="false" ht="15.75" hidden="false" customHeight="true" outlineLevel="0" collapsed="false">
      <c r="S42" s="40" t="s">
        <v>70</v>
      </c>
      <c r="T42" s="41" t="n">
        <f aca="false">SUMIFS('Expense Data'!H:H,'Expense Data'!C:C,"Aug")</f>
        <v>29181.92</v>
      </c>
      <c r="U42" s="41" t="n">
        <f aca="false">SUMIFS('Expense Data'!I:I,'Expense Data'!C:C,"Aug")</f>
        <v>29119.51</v>
      </c>
    </row>
    <row r="43" customFormat="false" ht="15.75" hidden="false" customHeight="true" outlineLevel="0" collapsed="false">
      <c r="S43" s="38" t="s">
        <v>72</v>
      </c>
      <c r="T43" s="39" t="n">
        <f aca="false">SUMIFS('Expense Data'!H:H,'Expense Data'!C:C,"Sep")</f>
        <v>28415.52</v>
      </c>
      <c r="U43" s="39" t="n">
        <f aca="false">SUMIFS('Expense Data'!I:I,'Expense Data'!C:C,"Sep")</f>
        <v>28551.5</v>
      </c>
    </row>
    <row r="44" customFormat="false" ht="15.75" hidden="false" customHeight="true" outlineLevel="0" collapsed="false">
      <c r="S44" s="40" t="s">
        <v>76</v>
      </c>
      <c r="T44" s="41" t="n">
        <f aca="false">SUMIFS('Expense Data'!H:H,'Expense Data'!C:C,"Oct")</f>
        <v>30191.8</v>
      </c>
      <c r="U44" s="41" t="n">
        <f aca="false">SUMIFS('Expense Data'!I:I,'Expense Data'!C:C,"Oct")</f>
        <v>32776.96</v>
      </c>
    </row>
    <row r="45" customFormat="false" ht="15.75" hidden="false" customHeight="true" outlineLevel="0" collapsed="false">
      <c r="S45" s="38" t="s">
        <v>79</v>
      </c>
      <c r="T45" s="39" t="n">
        <f aca="false">SUMIFS('Expense Data'!H:H,'Expense Data'!C:C,"Nov")</f>
        <v>29124.51</v>
      </c>
      <c r="U45" s="39" t="n">
        <f aca="false">SUMIFS('Expense Data'!I:I,'Expense Data'!C:C,"Nov")</f>
        <v>27019.21</v>
      </c>
    </row>
    <row r="46" customFormat="false" ht="15.75" hidden="false" customHeight="true" outlineLevel="0" collapsed="false">
      <c r="S46" s="40" t="s">
        <v>81</v>
      </c>
      <c r="T46" s="41" t="n">
        <f aca="false">SUMIFS('Expense Data'!H:H,'Expense Data'!C:C,"Dec")</f>
        <v>28068.84</v>
      </c>
      <c r="U46" s="41" t="n">
        <f aca="false">SUMIFS('Expense Data'!I:I,'Expense Data'!C:C,"Dec")</f>
        <v>29912.62</v>
      </c>
    </row>
  </sheetData>
  <mergeCells count="80">
    <mergeCell ref="A1:AD1"/>
    <mergeCell ref="A2:AD2"/>
    <mergeCell ref="A4:G5"/>
    <mergeCell ref="H4:N5"/>
    <mergeCell ref="O4:U5"/>
    <mergeCell ref="V4:AB5"/>
    <mergeCell ref="AC4:AI5"/>
    <mergeCell ref="A6:G7"/>
    <mergeCell ref="H6:N7"/>
    <mergeCell ref="O6:U7"/>
    <mergeCell ref="V6:AB7"/>
    <mergeCell ref="AC6:AI7"/>
    <mergeCell ref="A10:P10"/>
    <mergeCell ref="Q10:AD10"/>
    <mergeCell ref="A11:F11"/>
    <mergeCell ref="G11:K11"/>
    <mergeCell ref="L11:P11"/>
    <mergeCell ref="Q11:U11"/>
    <mergeCell ref="V11:Z11"/>
    <mergeCell ref="AA11:AF11"/>
    <mergeCell ref="A12:F12"/>
    <mergeCell ref="G12:K12"/>
    <mergeCell ref="L12:P12"/>
    <mergeCell ref="Q12:U12"/>
    <mergeCell ref="V12:Z12"/>
    <mergeCell ref="AA12:AF12"/>
    <mergeCell ref="A13:F13"/>
    <mergeCell ref="G13:K13"/>
    <mergeCell ref="L13:P13"/>
    <mergeCell ref="Q13:U13"/>
    <mergeCell ref="V13:Z13"/>
    <mergeCell ref="AA13:AF13"/>
    <mergeCell ref="A14:F14"/>
    <mergeCell ref="G14:K14"/>
    <mergeCell ref="L14:P14"/>
    <mergeCell ref="Q14:U14"/>
    <mergeCell ref="V14:Z14"/>
    <mergeCell ref="AA14:AF14"/>
    <mergeCell ref="A15:F15"/>
    <mergeCell ref="G15:K15"/>
    <mergeCell ref="L15:P15"/>
    <mergeCell ref="Q15:U15"/>
    <mergeCell ref="V15:Z15"/>
    <mergeCell ref="AA15:AF15"/>
    <mergeCell ref="A16:F16"/>
    <mergeCell ref="G16:K16"/>
    <mergeCell ref="L16:P16"/>
    <mergeCell ref="Q16:U16"/>
    <mergeCell ref="V16:Z16"/>
    <mergeCell ref="AA16:AF16"/>
    <mergeCell ref="A17:F17"/>
    <mergeCell ref="G17:K17"/>
    <mergeCell ref="L17:P17"/>
    <mergeCell ref="Q17:U17"/>
    <mergeCell ref="V17:Z17"/>
    <mergeCell ref="AA17:AF17"/>
    <mergeCell ref="A18:F18"/>
    <mergeCell ref="G18:K18"/>
    <mergeCell ref="L18:P18"/>
    <mergeCell ref="Q18:U18"/>
    <mergeCell ref="V18:Z18"/>
    <mergeCell ref="AA18:AF18"/>
    <mergeCell ref="A19:F19"/>
    <mergeCell ref="G19:K19"/>
    <mergeCell ref="L19:P19"/>
    <mergeCell ref="Q19:U19"/>
    <mergeCell ref="V19:Z19"/>
    <mergeCell ref="AA19:AF19"/>
    <mergeCell ref="A20:F20"/>
    <mergeCell ref="G20:K20"/>
    <mergeCell ref="L20:P20"/>
    <mergeCell ref="Q20:U20"/>
    <mergeCell ref="V20:Z20"/>
    <mergeCell ref="AA20:AF20"/>
    <mergeCell ref="A21:F21"/>
    <mergeCell ref="G21:K21"/>
    <mergeCell ref="L21:P21"/>
    <mergeCell ref="Q21:U21"/>
    <mergeCell ref="V21:Z21"/>
    <mergeCell ref="W21:A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1"/>
  </cols>
  <sheetData>
    <row r="1" customFormat="false" ht="33.75" hidden="false" customHeight="true" outlineLevel="0" collapsed="false">
      <c r="A1" s="42" t="s">
        <v>95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customFormat="false" ht="25.5" hidden="false" customHeight="true" outlineLevel="0" collapsed="false">
      <c r="A2" s="43" t="s">
        <v>5</v>
      </c>
      <c r="B2" s="2" t="s">
        <v>14</v>
      </c>
      <c r="C2" s="2" t="s">
        <v>40</v>
      </c>
      <c r="D2" s="2" t="s">
        <v>48</v>
      </c>
      <c r="E2" s="2" t="s">
        <v>55</v>
      </c>
      <c r="F2" s="2" t="s">
        <v>63</v>
      </c>
      <c r="G2" s="2" t="s">
        <v>65</v>
      </c>
      <c r="H2" s="2" t="s">
        <v>67</v>
      </c>
      <c r="I2" s="2" t="s">
        <v>70</v>
      </c>
      <c r="J2" s="2" t="s">
        <v>72</v>
      </c>
      <c r="K2" s="2" t="s">
        <v>76</v>
      </c>
      <c r="L2" s="2" t="s">
        <v>79</v>
      </c>
      <c r="M2" s="2" t="s">
        <v>81</v>
      </c>
      <c r="N2" s="2" t="s">
        <v>96</v>
      </c>
    </row>
    <row r="3" customFormat="false" ht="19.5" hidden="false" customHeight="true" outlineLevel="0" collapsed="false">
      <c r="A3" s="44" t="s">
        <v>16</v>
      </c>
      <c r="B3" s="45" t="n">
        <f aca="false">SUMIFS('Expense Data'!I:I,'Expense Data'!E:E,"Salaries",'Expense Data'!C:C,"Jan")</f>
        <v>10090.5</v>
      </c>
      <c r="C3" s="45" t="n">
        <f aca="false">SUMIFS('Expense Data'!I:I,'Expense Data'!E:E,"Salaries",'Expense Data'!C:C,"Feb")</f>
        <v>12106.3</v>
      </c>
      <c r="D3" s="45" t="n">
        <f aca="false">SUMIFS('Expense Data'!I:I,'Expense Data'!E:E,"Salaries",'Expense Data'!C:C,"Mar")</f>
        <v>8572.82</v>
      </c>
      <c r="E3" s="45" t="n">
        <f aca="false">SUMIFS('Expense Data'!I:I,'Expense Data'!E:E,"Salaries",'Expense Data'!C:C,"Apr")</f>
        <v>14943.17</v>
      </c>
      <c r="F3" s="45" t="n">
        <f aca="false">SUMIFS('Expense Data'!I:I,'Expense Data'!E:E,"Salaries",'Expense Data'!C:C,"May")</f>
        <v>8152.23</v>
      </c>
      <c r="G3" s="45" t="n">
        <f aca="false">SUMIFS('Expense Data'!I:I,'Expense Data'!E:E,"Salaries",'Expense Data'!C:C,"Jun")</f>
        <v>9943.51</v>
      </c>
      <c r="H3" s="45" t="n">
        <f aca="false">SUMIFS('Expense Data'!I:I,'Expense Data'!E:E,"Salaries",'Expense Data'!C:C,"Jul")</f>
        <v>9818.1</v>
      </c>
      <c r="I3" s="45" t="n">
        <f aca="false">SUMIFS('Expense Data'!I:I,'Expense Data'!E:E,"Salaries",'Expense Data'!C:C,"Aug")</f>
        <v>14774.57</v>
      </c>
      <c r="J3" s="45" t="n">
        <f aca="false">SUMIFS('Expense Data'!I:I,'Expense Data'!E:E,"Salaries",'Expense Data'!C:C,"Sep")</f>
        <v>10811.18</v>
      </c>
      <c r="K3" s="45" t="n">
        <f aca="false">SUMIFS('Expense Data'!I:I,'Expense Data'!E:E,"Salaries",'Expense Data'!C:C,"Oct")</f>
        <v>17703.7</v>
      </c>
      <c r="L3" s="45" t="n">
        <f aca="false">SUMIFS('Expense Data'!I:I,'Expense Data'!E:E,"Salaries",'Expense Data'!C:C,"Nov")</f>
        <v>11206.08</v>
      </c>
      <c r="M3" s="45" t="n">
        <f aca="false">SUMIFS('Expense Data'!I:I,'Expense Data'!E:E,"Salaries",'Expense Data'!C:C,"Dec")</f>
        <v>16128.37</v>
      </c>
      <c r="N3" s="46" t="n">
        <f aca="false">SUM(B3:M3)</f>
        <v>144250.53</v>
      </c>
    </row>
    <row r="4" customFormat="false" ht="19.5" hidden="false" customHeight="true" outlineLevel="0" collapsed="false">
      <c r="A4" s="47" t="s">
        <v>19</v>
      </c>
      <c r="B4" s="48" t="n">
        <f aca="false">SUMIFS('Expense Data'!I:I,'Expense Data'!E:E,"Rent &amp; Utilities",'Expense Data'!C:C,"Jan")</f>
        <v>3257.81</v>
      </c>
      <c r="C4" s="48" t="n">
        <f aca="false">SUMIFS('Expense Data'!I:I,'Expense Data'!E:E,"Rent &amp; Utilities",'Expense Data'!C:C,"Feb")</f>
        <v>3690.82</v>
      </c>
      <c r="D4" s="48" t="n">
        <f aca="false">SUMIFS('Expense Data'!I:I,'Expense Data'!E:E,"Rent &amp; Utilities",'Expense Data'!C:C,"Mar")</f>
        <v>3312.68</v>
      </c>
      <c r="E4" s="48" t="n">
        <f aca="false">SUMIFS('Expense Data'!I:I,'Expense Data'!E:E,"Rent &amp; Utilities",'Expense Data'!C:C,"Apr")</f>
        <v>3854.6</v>
      </c>
      <c r="F4" s="48" t="n">
        <f aca="false">SUMIFS('Expense Data'!I:I,'Expense Data'!E:E,"Rent &amp; Utilities",'Expense Data'!C:C,"May")</f>
        <v>4489.13</v>
      </c>
      <c r="G4" s="48" t="n">
        <f aca="false">SUMIFS('Expense Data'!I:I,'Expense Data'!E:E,"Rent &amp; Utilities",'Expense Data'!C:C,"Jun")</f>
        <v>4422.2</v>
      </c>
      <c r="H4" s="48" t="n">
        <f aca="false">SUMIFS('Expense Data'!I:I,'Expense Data'!E:E,"Rent &amp; Utilities",'Expense Data'!C:C,"Jul")</f>
        <v>4298.46</v>
      </c>
      <c r="I4" s="48" t="n">
        <f aca="false">SUMIFS('Expense Data'!I:I,'Expense Data'!E:E,"Rent &amp; Utilities",'Expense Data'!C:C,"Aug")</f>
        <v>4868.76</v>
      </c>
      <c r="J4" s="48" t="n">
        <f aca="false">SUMIFS('Expense Data'!I:I,'Expense Data'!E:E,"Rent &amp; Utilities",'Expense Data'!C:C,"Sep")</f>
        <v>4352.71</v>
      </c>
      <c r="K4" s="48" t="n">
        <f aca="false">SUMIFS('Expense Data'!I:I,'Expense Data'!E:E,"Rent &amp; Utilities",'Expense Data'!C:C,"Oct")</f>
        <v>4806.59</v>
      </c>
      <c r="L4" s="48" t="n">
        <f aca="false">SUMIFS('Expense Data'!I:I,'Expense Data'!E:E,"Rent &amp; Utilities",'Expense Data'!C:C,"Nov")</f>
        <v>4741.29</v>
      </c>
      <c r="M4" s="48" t="n">
        <f aca="false">SUMIFS('Expense Data'!I:I,'Expense Data'!E:E,"Rent &amp; Utilities",'Expense Data'!C:C,"Dec")</f>
        <v>3849.65</v>
      </c>
      <c r="N4" s="46" t="n">
        <f aca="false">SUM(B4:M4)</f>
        <v>49944.7</v>
      </c>
    </row>
    <row r="5" customFormat="false" ht="19.5" hidden="false" customHeight="true" outlineLevel="0" collapsed="false">
      <c r="A5" s="44" t="s">
        <v>21</v>
      </c>
      <c r="B5" s="45" t="n">
        <f aca="false">SUMIFS('Expense Data'!I:I,'Expense Data'!E:E,"IT &amp; Software",'Expense Data'!C:C,"Jan")</f>
        <v>1492.22</v>
      </c>
      <c r="C5" s="45" t="n">
        <f aca="false">SUMIFS('Expense Data'!I:I,'Expense Data'!E:E,"IT &amp; Software",'Expense Data'!C:C,"Feb")</f>
        <v>3551.35</v>
      </c>
      <c r="D5" s="45" t="n">
        <f aca="false">SUMIFS('Expense Data'!I:I,'Expense Data'!E:E,"IT &amp; Software",'Expense Data'!C:C,"Mar")</f>
        <v>2237.14</v>
      </c>
      <c r="E5" s="45" t="n">
        <f aca="false">SUMIFS('Expense Data'!I:I,'Expense Data'!E:E,"IT &amp; Software",'Expense Data'!C:C,"Apr")</f>
        <v>2675.83</v>
      </c>
      <c r="F5" s="45" t="n">
        <f aca="false">SUMIFS('Expense Data'!I:I,'Expense Data'!E:E,"IT &amp; Software",'Expense Data'!C:C,"May")</f>
        <v>1659.07</v>
      </c>
      <c r="G5" s="45" t="n">
        <f aca="false">SUMIFS('Expense Data'!I:I,'Expense Data'!E:E,"IT &amp; Software",'Expense Data'!C:C,"Jun")</f>
        <v>2046.95</v>
      </c>
      <c r="H5" s="45" t="n">
        <f aca="false">SUMIFS('Expense Data'!I:I,'Expense Data'!E:E,"IT &amp; Software",'Expense Data'!C:C,"Jul")</f>
        <v>2346.78</v>
      </c>
      <c r="I5" s="45" t="n">
        <f aca="false">SUMIFS('Expense Data'!I:I,'Expense Data'!E:E,"IT &amp; Software",'Expense Data'!C:C,"Aug")</f>
        <v>1369.18</v>
      </c>
      <c r="J5" s="45" t="n">
        <f aca="false">SUMIFS('Expense Data'!I:I,'Expense Data'!E:E,"IT &amp; Software",'Expense Data'!C:C,"Sep")</f>
        <v>3316.85</v>
      </c>
      <c r="K5" s="45" t="n">
        <f aca="false">SUMIFS('Expense Data'!I:I,'Expense Data'!E:E,"IT &amp; Software",'Expense Data'!C:C,"Oct")</f>
        <v>2586.44</v>
      </c>
      <c r="L5" s="45" t="n">
        <f aca="false">SUMIFS('Expense Data'!I:I,'Expense Data'!E:E,"IT &amp; Software",'Expense Data'!C:C,"Nov")</f>
        <v>1776.94</v>
      </c>
      <c r="M5" s="45" t="n">
        <f aca="false">SUMIFS('Expense Data'!I:I,'Expense Data'!E:E,"IT &amp; Software",'Expense Data'!C:C,"Dec")</f>
        <v>1329.13</v>
      </c>
      <c r="N5" s="46" t="n">
        <f aca="false">SUM(B5:M5)</f>
        <v>26387.88</v>
      </c>
    </row>
    <row r="6" customFormat="false" ht="19.5" hidden="false" customHeight="true" outlineLevel="0" collapsed="false">
      <c r="A6" s="47" t="s">
        <v>17</v>
      </c>
      <c r="B6" s="48" t="n">
        <f aca="false">SUMIFS('Expense Data'!I:I,'Expense Data'!E:E,"Marketing",'Expense Data'!C:C,"Jan")</f>
        <v>2741.45</v>
      </c>
      <c r="C6" s="48" t="n">
        <f aca="false">SUMIFS('Expense Data'!I:I,'Expense Data'!E:E,"Marketing",'Expense Data'!C:C,"Feb")</f>
        <v>3575.78</v>
      </c>
      <c r="D6" s="48" t="n">
        <f aca="false">SUMIFS('Expense Data'!I:I,'Expense Data'!E:E,"Marketing",'Expense Data'!C:C,"Mar")</f>
        <v>2673.53</v>
      </c>
      <c r="E6" s="48" t="n">
        <f aca="false">SUMIFS('Expense Data'!I:I,'Expense Data'!E:E,"Marketing",'Expense Data'!C:C,"Apr")</f>
        <v>4003</v>
      </c>
      <c r="F6" s="48" t="n">
        <f aca="false">SUMIFS('Expense Data'!I:I,'Expense Data'!E:E,"Marketing",'Expense Data'!C:C,"May")</f>
        <v>2582.16</v>
      </c>
      <c r="G6" s="48" t="n">
        <f aca="false">SUMIFS('Expense Data'!I:I,'Expense Data'!E:E,"Marketing",'Expense Data'!C:C,"Jun")</f>
        <v>2985.9</v>
      </c>
      <c r="H6" s="48" t="n">
        <f aca="false">SUMIFS('Expense Data'!I:I,'Expense Data'!E:E,"Marketing",'Expense Data'!C:C,"Jul")</f>
        <v>3993.71</v>
      </c>
      <c r="I6" s="48" t="n">
        <f aca="false">SUMIFS('Expense Data'!I:I,'Expense Data'!E:E,"Marketing",'Expense Data'!C:C,"Aug")</f>
        <v>4074.9</v>
      </c>
      <c r="J6" s="48" t="n">
        <f aca="false">SUMIFS('Expense Data'!I:I,'Expense Data'!E:E,"Marketing",'Expense Data'!C:C,"Sep")</f>
        <v>4587.65</v>
      </c>
      <c r="K6" s="48" t="n">
        <f aca="false">SUMIFS('Expense Data'!I:I,'Expense Data'!E:E,"Marketing",'Expense Data'!C:C,"Oct")</f>
        <v>2992.42</v>
      </c>
      <c r="L6" s="48" t="n">
        <f aca="false">SUMIFS('Expense Data'!I:I,'Expense Data'!E:E,"Marketing",'Expense Data'!C:C,"Nov")</f>
        <v>4535.97</v>
      </c>
      <c r="M6" s="48" t="n">
        <f aca="false">SUMIFS('Expense Data'!I:I,'Expense Data'!E:E,"Marketing",'Expense Data'!C:C,"Dec")</f>
        <v>2974.81</v>
      </c>
      <c r="N6" s="46" t="n">
        <f aca="false">SUM(B6:M6)</f>
        <v>41721.28</v>
      </c>
    </row>
    <row r="7" customFormat="false" ht="19.5" hidden="false" customHeight="true" outlineLevel="0" collapsed="false">
      <c r="A7" s="44" t="s">
        <v>26</v>
      </c>
      <c r="B7" s="45" t="n">
        <f aca="false">SUMIFS('Expense Data'!I:I,'Expense Data'!E:E,"Travel",'Expense Data'!C:C,"Jan")</f>
        <v>995.36</v>
      </c>
      <c r="C7" s="45" t="n">
        <f aca="false">SUMIFS('Expense Data'!I:I,'Expense Data'!E:E,"Travel",'Expense Data'!C:C,"Feb")</f>
        <v>1446.43</v>
      </c>
      <c r="D7" s="45" t="n">
        <f aca="false">SUMIFS('Expense Data'!I:I,'Expense Data'!E:E,"Travel",'Expense Data'!C:C,"Mar")</f>
        <v>1075.5</v>
      </c>
      <c r="E7" s="45" t="n">
        <f aca="false">SUMIFS('Expense Data'!I:I,'Expense Data'!E:E,"Travel",'Expense Data'!C:C,"Apr")</f>
        <v>1399.22</v>
      </c>
      <c r="F7" s="45" t="n">
        <f aca="false">SUMIFS('Expense Data'!I:I,'Expense Data'!E:E,"Travel",'Expense Data'!C:C,"May")</f>
        <v>1239.08</v>
      </c>
      <c r="G7" s="45" t="n">
        <f aca="false">SUMIFS('Expense Data'!I:I,'Expense Data'!E:E,"Travel",'Expense Data'!C:C,"Jun")</f>
        <v>1095.37</v>
      </c>
      <c r="H7" s="45" t="n">
        <f aca="false">SUMIFS('Expense Data'!I:I,'Expense Data'!E:E,"Travel",'Expense Data'!C:C,"Jul")</f>
        <v>1306.94</v>
      </c>
      <c r="I7" s="45" t="n">
        <f aca="false">SUMIFS('Expense Data'!I:I,'Expense Data'!E:E,"Travel",'Expense Data'!C:C,"Aug")</f>
        <v>515.85</v>
      </c>
      <c r="J7" s="45" t="n">
        <f aca="false">SUMIFS('Expense Data'!I:I,'Expense Data'!E:E,"Travel",'Expense Data'!C:C,"Sep")</f>
        <v>1961.16</v>
      </c>
      <c r="K7" s="45" t="n">
        <f aca="false">SUMIFS('Expense Data'!I:I,'Expense Data'!E:E,"Travel",'Expense Data'!C:C,"Oct")</f>
        <v>532.1</v>
      </c>
      <c r="L7" s="45" t="n">
        <f aca="false">SUMIFS('Expense Data'!I:I,'Expense Data'!E:E,"Travel",'Expense Data'!C:C,"Nov")</f>
        <v>848.77</v>
      </c>
      <c r="M7" s="45" t="n">
        <f aca="false">SUMIFS('Expense Data'!I:I,'Expense Data'!E:E,"Travel",'Expense Data'!C:C,"Dec")</f>
        <v>959.24</v>
      </c>
      <c r="N7" s="46" t="n">
        <f aca="false">SUM(B7:M7)</f>
        <v>13375.02</v>
      </c>
    </row>
    <row r="8" customFormat="false" ht="19.5" hidden="false" customHeight="true" outlineLevel="0" collapsed="false">
      <c r="A8" s="47" t="s">
        <v>29</v>
      </c>
      <c r="B8" s="48" t="n">
        <f aca="false">SUMIFS('Expense Data'!I:I,'Expense Data'!E:E,"Office Supplies",'Expense Data'!C:C,"Jan")</f>
        <v>485.88</v>
      </c>
      <c r="C8" s="48" t="n">
        <f aca="false">SUMIFS('Expense Data'!I:I,'Expense Data'!E:E,"Office Supplies",'Expense Data'!C:C,"Feb")</f>
        <v>633.03</v>
      </c>
      <c r="D8" s="48" t="n">
        <f aca="false">SUMIFS('Expense Data'!I:I,'Expense Data'!E:E,"Office Supplies",'Expense Data'!C:C,"Mar")</f>
        <v>706.95</v>
      </c>
      <c r="E8" s="48" t="n">
        <f aca="false">SUMIFS('Expense Data'!I:I,'Expense Data'!E:E,"Office Supplies",'Expense Data'!C:C,"Apr")</f>
        <v>799.07</v>
      </c>
      <c r="F8" s="48" t="n">
        <f aca="false">SUMIFS('Expense Data'!I:I,'Expense Data'!E:E,"Office Supplies",'Expense Data'!C:C,"May")</f>
        <v>385.11</v>
      </c>
      <c r="G8" s="48" t="n">
        <f aca="false">SUMIFS('Expense Data'!I:I,'Expense Data'!E:E,"Office Supplies",'Expense Data'!C:C,"Jun")</f>
        <v>644.47</v>
      </c>
      <c r="H8" s="48" t="n">
        <f aca="false">SUMIFS('Expense Data'!I:I,'Expense Data'!E:E,"Office Supplies",'Expense Data'!C:C,"Jul")</f>
        <v>770.36</v>
      </c>
      <c r="I8" s="48" t="n">
        <f aca="false">SUMIFS('Expense Data'!I:I,'Expense Data'!E:E,"Office Supplies",'Expense Data'!C:C,"Aug")</f>
        <v>500.9</v>
      </c>
      <c r="J8" s="48" t="n">
        <f aca="false">SUMIFS('Expense Data'!I:I,'Expense Data'!E:E,"Office Supplies",'Expense Data'!C:C,"Sep")</f>
        <v>521.15</v>
      </c>
      <c r="K8" s="48" t="n">
        <f aca="false">SUMIFS('Expense Data'!I:I,'Expense Data'!E:E,"Office Supplies",'Expense Data'!C:C,"Oct")</f>
        <v>673.47</v>
      </c>
      <c r="L8" s="48" t="n">
        <f aca="false">SUMIFS('Expense Data'!I:I,'Expense Data'!E:E,"Office Supplies",'Expense Data'!C:C,"Nov")</f>
        <v>607.92</v>
      </c>
      <c r="M8" s="48" t="n">
        <f aca="false">SUMIFS('Expense Data'!I:I,'Expense Data'!E:E,"Office Supplies",'Expense Data'!C:C,"Dec")</f>
        <v>594.89</v>
      </c>
      <c r="N8" s="46" t="n">
        <f aca="false">SUM(B8:M8)</f>
        <v>7323.2</v>
      </c>
    </row>
    <row r="9" customFormat="false" ht="19.5" hidden="false" customHeight="true" outlineLevel="0" collapsed="false">
      <c r="A9" s="44" t="s">
        <v>31</v>
      </c>
      <c r="B9" s="45" t="n">
        <f aca="false">SUMIFS('Expense Data'!I:I,'Expense Data'!E:E,"Professional Services",'Expense Data'!C:C,"Jan")</f>
        <v>2587.36</v>
      </c>
      <c r="C9" s="45" t="n">
        <f aca="false">SUMIFS('Expense Data'!I:I,'Expense Data'!E:E,"Professional Services",'Expense Data'!C:C,"Feb")</f>
        <v>3425.15</v>
      </c>
      <c r="D9" s="45" t="n">
        <f aca="false">SUMIFS('Expense Data'!I:I,'Expense Data'!E:E,"Professional Services",'Expense Data'!C:C,"Mar")</f>
        <v>2164.93</v>
      </c>
      <c r="E9" s="45" t="n">
        <f aca="false">SUMIFS('Expense Data'!I:I,'Expense Data'!E:E,"Professional Services",'Expense Data'!C:C,"Apr")</f>
        <v>4111.86</v>
      </c>
      <c r="F9" s="45" t="n">
        <f aca="false">SUMIFS('Expense Data'!I:I,'Expense Data'!E:E,"Professional Services",'Expense Data'!C:C,"May")</f>
        <v>2831.64</v>
      </c>
      <c r="G9" s="45" t="n">
        <f aca="false">SUMIFS('Expense Data'!I:I,'Expense Data'!E:E,"Professional Services",'Expense Data'!C:C,"Jun")</f>
        <v>4272.68</v>
      </c>
      <c r="H9" s="45" t="n">
        <f aca="false">SUMIFS('Expense Data'!I:I,'Expense Data'!E:E,"Professional Services",'Expense Data'!C:C,"Jul")</f>
        <v>4156.65</v>
      </c>
      <c r="I9" s="45" t="n">
        <f aca="false">SUMIFS('Expense Data'!I:I,'Expense Data'!E:E,"Professional Services",'Expense Data'!C:C,"Aug")</f>
        <v>1938.87</v>
      </c>
      <c r="J9" s="45" t="n">
        <f aca="false">SUMIFS('Expense Data'!I:I,'Expense Data'!E:E,"Professional Services",'Expense Data'!C:C,"Sep")</f>
        <v>2131.61</v>
      </c>
      <c r="K9" s="45" t="n">
        <f aca="false">SUMIFS('Expense Data'!I:I,'Expense Data'!E:E,"Professional Services",'Expense Data'!C:C,"Oct")</f>
        <v>2746.54</v>
      </c>
      <c r="L9" s="45" t="n">
        <f aca="false">SUMIFS('Expense Data'!I:I,'Expense Data'!E:E,"Professional Services",'Expense Data'!C:C,"Nov")</f>
        <v>2351.4</v>
      </c>
      <c r="M9" s="45" t="n">
        <f aca="false">SUMIFS('Expense Data'!I:I,'Expense Data'!E:E,"Professional Services",'Expense Data'!C:C,"Dec")</f>
        <v>3496.99</v>
      </c>
      <c r="N9" s="46" t="n">
        <f aca="false">SUM(B9:M9)</f>
        <v>36215.68</v>
      </c>
    </row>
    <row r="10" customFormat="false" ht="19.5" hidden="false" customHeight="true" outlineLevel="0" collapsed="false">
      <c r="A10" s="47" t="s">
        <v>34</v>
      </c>
      <c r="B10" s="48" t="n">
        <f aca="false">SUMIFS('Expense Data'!I:I,'Expense Data'!E:E,"Training",'Expense Data'!C:C,"Jan")</f>
        <v>923.7</v>
      </c>
      <c r="C10" s="48" t="n">
        <f aca="false">SUMIFS('Expense Data'!I:I,'Expense Data'!E:E,"Training",'Expense Data'!C:C,"Feb")</f>
        <v>1045.86</v>
      </c>
      <c r="D10" s="48" t="n">
        <f aca="false">SUMIFS('Expense Data'!I:I,'Expense Data'!E:E,"Training",'Expense Data'!C:C,"Mar")</f>
        <v>1293.46</v>
      </c>
      <c r="E10" s="48" t="n">
        <f aca="false">SUMIFS('Expense Data'!I:I,'Expense Data'!E:E,"Training",'Expense Data'!C:C,"Apr")</f>
        <v>887.38</v>
      </c>
      <c r="F10" s="48" t="n">
        <f aca="false">SUMIFS('Expense Data'!I:I,'Expense Data'!E:E,"Training",'Expense Data'!C:C,"May")</f>
        <v>548.69</v>
      </c>
      <c r="G10" s="48" t="n">
        <f aca="false">SUMIFS('Expense Data'!I:I,'Expense Data'!E:E,"Training",'Expense Data'!C:C,"Jun")</f>
        <v>689.35</v>
      </c>
      <c r="H10" s="48" t="n">
        <f aca="false">SUMIFS('Expense Data'!I:I,'Expense Data'!E:E,"Training",'Expense Data'!C:C,"Jul")</f>
        <v>485.06</v>
      </c>
      <c r="I10" s="48" t="n">
        <f aca="false">SUMIFS('Expense Data'!I:I,'Expense Data'!E:E,"Training",'Expense Data'!C:C,"Aug")</f>
        <v>847.8</v>
      </c>
      <c r="J10" s="48" t="n">
        <f aca="false">SUMIFS('Expense Data'!I:I,'Expense Data'!E:E,"Training",'Expense Data'!C:C,"Sep")</f>
        <v>531.66</v>
      </c>
      <c r="K10" s="48" t="n">
        <f aca="false">SUMIFS('Expense Data'!I:I,'Expense Data'!E:E,"Training",'Expense Data'!C:C,"Oct")</f>
        <v>551.97</v>
      </c>
      <c r="L10" s="48" t="n">
        <f aca="false">SUMIFS('Expense Data'!I:I,'Expense Data'!E:E,"Training",'Expense Data'!C:C,"Nov")</f>
        <v>588.69</v>
      </c>
      <c r="M10" s="48" t="n">
        <f aca="false">SUMIFS('Expense Data'!I:I,'Expense Data'!E:E,"Training",'Expense Data'!C:C,"Dec")</f>
        <v>379.98</v>
      </c>
      <c r="N10" s="46" t="n">
        <f aca="false">SUM(B10:M10)</f>
        <v>8773.6</v>
      </c>
    </row>
    <row r="11" customFormat="false" ht="19.5" hidden="false" customHeight="true" outlineLevel="0" collapsed="false">
      <c r="A11" s="44" t="s">
        <v>37</v>
      </c>
      <c r="B11" s="45" t="n">
        <f aca="false">SUMIFS('Expense Data'!I:I,'Expense Data'!E:E,"Miscellaneous",'Expense Data'!C:C,"Jan")</f>
        <v>284.76</v>
      </c>
      <c r="C11" s="45" t="n">
        <f aca="false">SUMIFS('Expense Data'!I:I,'Expense Data'!E:E,"Miscellaneous",'Expense Data'!C:C,"Feb")</f>
        <v>272.15</v>
      </c>
      <c r="D11" s="45" t="n">
        <f aca="false">SUMIFS('Expense Data'!I:I,'Expense Data'!E:E,"Miscellaneous",'Expense Data'!C:C,"Mar")</f>
        <v>351.17</v>
      </c>
      <c r="E11" s="45" t="n">
        <f aca="false">SUMIFS('Expense Data'!I:I,'Expense Data'!E:E,"Miscellaneous",'Expense Data'!C:C,"Apr")</f>
        <v>343.05</v>
      </c>
      <c r="F11" s="45" t="n">
        <f aca="false">SUMIFS('Expense Data'!I:I,'Expense Data'!E:E,"Miscellaneous",'Expense Data'!C:C,"May")</f>
        <v>234.51</v>
      </c>
      <c r="G11" s="45" t="n">
        <f aca="false">SUMIFS('Expense Data'!I:I,'Expense Data'!E:E,"Miscellaneous",'Expense Data'!C:C,"Jun")</f>
        <v>208.62</v>
      </c>
      <c r="H11" s="45" t="n">
        <f aca="false">SUMIFS('Expense Data'!I:I,'Expense Data'!E:E,"Miscellaneous",'Expense Data'!C:C,"Jul")</f>
        <v>273.97</v>
      </c>
      <c r="I11" s="45" t="n">
        <f aca="false">SUMIFS('Expense Data'!I:I,'Expense Data'!E:E,"Miscellaneous",'Expense Data'!C:C,"Aug")</f>
        <v>228.68</v>
      </c>
      <c r="J11" s="45" t="n">
        <f aca="false">SUMIFS('Expense Data'!I:I,'Expense Data'!E:E,"Miscellaneous",'Expense Data'!C:C,"Sep")</f>
        <v>337.53</v>
      </c>
      <c r="K11" s="45" t="n">
        <f aca="false">SUMIFS('Expense Data'!I:I,'Expense Data'!E:E,"Miscellaneous",'Expense Data'!C:C,"Oct")</f>
        <v>183.73</v>
      </c>
      <c r="L11" s="45" t="n">
        <f aca="false">SUMIFS('Expense Data'!I:I,'Expense Data'!E:E,"Miscellaneous",'Expense Data'!C:C,"Nov")</f>
        <v>362.15</v>
      </c>
      <c r="M11" s="45" t="n">
        <f aca="false">SUMIFS('Expense Data'!I:I,'Expense Data'!E:E,"Miscellaneous",'Expense Data'!C:C,"Dec")</f>
        <v>199.56</v>
      </c>
      <c r="N11" s="46" t="n">
        <f aca="false">SUM(B11:M11)</f>
        <v>3279.88</v>
      </c>
    </row>
    <row r="12" customFormat="false" ht="21.75" hidden="false" customHeight="true" outlineLevel="0" collapsed="false">
      <c r="A12" s="49" t="s">
        <v>97</v>
      </c>
      <c r="B12" s="50" t="n">
        <f aca="false">SUM(B3:B11)</f>
        <v>22859.04</v>
      </c>
      <c r="C12" s="50" t="n">
        <f aca="false">SUM(C3:C11)</f>
        <v>29746.87</v>
      </c>
      <c r="D12" s="50" t="n">
        <f aca="false">SUM(D3:D11)</f>
        <v>22388.18</v>
      </c>
      <c r="E12" s="50" t="n">
        <f aca="false">SUM(E3:E11)</f>
        <v>33017.18</v>
      </c>
      <c r="F12" s="50" t="n">
        <f aca="false">SUM(F3:F11)</f>
        <v>22121.62</v>
      </c>
      <c r="G12" s="50" t="n">
        <f aca="false">SUM(G3:G11)</f>
        <v>26309.05</v>
      </c>
      <c r="H12" s="50" t="n">
        <f aca="false">SUM(H3:H11)</f>
        <v>27450.03</v>
      </c>
      <c r="I12" s="50" t="n">
        <f aca="false">SUM(I3:I11)</f>
        <v>29119.51</v>
      </c>
      <c r="J12" s="50" t="n">
        <f aca="false">SUM(J3:J11)</f>
        <v>28551.5</v>
      </c>
      <c r="K12" s="50" t="n">
        <f aca="false">SUM(K3:K11)</f>
        <v>32776.96</v>
      </c>
      <c r="L12" s="50" t="n">
        <f aca="false">SUM(L3:L11)</f>
        <v>27019.21</v>
      </c>
      <c r="M12" s="50" t="n">
        <f aca="false">SUM(M3:M11)</f>
        <v>29912.62</v>
      </c>
      <c r="N12" s="50" t="n">
        <f aca="false">SUM(N3:N11)</f>
        <v>331271.77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6"/>
  </cols>
  <sheetData>
    <row r="1" customFormat="false" ht="33.75" hidden="false" customHeight="true" outlineLevel="0" collapsed="false">
      <c r="A1" s="42" t="s">
        <v>98</v>
      </c>
      <c r="B1" s="42"/>
      <c r="C1" s="42"/>
      <c r="D1" s="42"/>
      <c r="E1" s="42"/>
      <c r="F1" s="42"/>
      <c r="G1" s="42"/>
      <c r="H1" s="42"/>
      <c r="I1" s="42"/>
    </row>
    <row r="2" customFormat="false" ht="25.5" hidden="false" customHeight="true" outlineLevel="0" collapsed="false">
      <c r="A2" s="2" t="s">
        <v>99</v>
      </c>
      <c r="B2" s="2" t="s">
        <v>15</v>
      </c>
      <c r="C2" s="2" t="s">
        <v>56</v>
      </c>
      <c r="D2" s="2" t="s">
        <v>68</v>
      </c>
      <c r="E2" s="2" t="s">
        <v>77</v>
      </c>
      <c r="F2" s="2" t="s">
        <v>100</v>
      </c>
      <c r="G2" s="2" t="s">
        <v>101</v>
      </c>
      <c r="H2" s="2" t="s">
        <v>12</v>
      </c>
    </row>
    <row r="3" customFormat="false" ht="27.75" hidden="false" customHeight="true" outlineLevel="0" collapsed="false">
      <c r="A3" s="51" t="s">
        <v>102</v>
      </c>
      <c r="B3" s="52" t="n">
        <f aca="false">SUMIFS('Expense Data'!H:H,'Expense Data'!D:D,"Q1")</f>
        <v>77172.03</v>
      </c>
      <c r="C3" s="52" t="n">
        <f aca="false">SUMIFS('Expense Data'!H:H,'Expense Data'!D:D,"Q2")</f>
        <v>85104.08</v>
      </c>
      <c r="D3" s="52" t="n">
        <f aca="false">SUMIFS('Expense Data'!H:H,'Expense Data'!D:D,"Q3")</f>
        <v>84948.29</v>
      </c>
      <c r="E3" s="52" t="n">
        <f aca="false">SUMIFS('Expense Data'!H:H,'Expense Data'!D:D,"Q4")</f>
        <v>87385.15</v>
      </c>
      <c r="F3" s="52" t="n">
        <f aca="false">SUM(B3:E3)</f>
        <v>334609.55</v>
      </c>
      <c r="G3" s="53" t="s">
        <v>103</v>
      </c>
      <c r="H3" s="53" t="s">
        <v>104</v>
      </c>
    </row>
    <row r="4" customFormat="false" ht="27.75" hidden="false" customHeight="true" outlineLevel="0" collapsed="false">
      <c r="A4" s="54" t="s">
        <v>105</v>
      </c>
      <c r="B4" s="55" t="n">
        <f aca="false">SUMIFS('Expense Data'!I:I,'Expense Data'!D:D,"Q1")</f>
        <v>74994.09</v>
      </c>
      <c r="C4" s="55" t="n">
        <f aca="false">SUMIFS('Expense Data'!I:I,'Expense Data'!D:D,"Q2")</f>
        <v>81447.85</v>
      </c>
      <c r="D4" s="55" t="n">
        <f aca="false">SUMIFS('Expense Data'!I:I,'Expense Data'!D:D,"Q3")</f>
        <v>85121.04</v>
      </c>
      <c r="E4" s="55" t="n">
        <f aca="false">SUMIFS('Expense Data'!I:I,'Expense Data'!D:D,"Q4")</f>
        <v>89708.79</v>
      </c>
      <c r="F4" s="55" t="n">
        <f aca="false">SUM(B4:E4)</f>
        <v>331271.77</v>
      </c>
      <c r="G4" s="56" t="s">
        <v>103</v>
      </c>
      <c r="H4" s="56" t="s">
        <v>106</v>
      </c>
    </row>
    <row r="5" customFormat="false" ht="27.75" hidden="false" customHeight="true" outlineLevel="0" collapsed="false">
      <c r="A5" s="57" t="s">
        <v>10</v>
      </c>
      <c r="B5" s="58" t="n">
        <f aca="false">B4-B3</f>
        <v>-2177.94</v>
      </c>
      <c r="C5" s="58" t="n">
        <f aca="false">C4-C3</f>
        <v>-3656.23</v>
      </c>
      <c r="D5" s="58" t="n">
        <f aca="false">D4-D3</f>
        <v>172.75</v>
      </c>
      <c r="E5" s="58" t="n">
        <f aca="false">E4-E3</f>
        <v>2323.64000000001</v>
      </c>
      <c r="F5" s="58" t="n">
        <f aca="false">F4-F3</f>
        <v>-3337.77999999997</v>
      </c>
      <c r="G5" s="59" t="n">
        <f aca="false">IFERROR(F4/F3-1,0)</f>
        <v>-0.00997514864713212</v>
      </c>
      <c r="H5" s="60" t="str">
        <f aca="false">IF(G5&gt;0,"Over Budget","Under Budget")</f>
        <v>Under Budget</v>
      </c>
    </row>
    <row r="6" customFormat="false" ht="27.75" hidden="false" customHeight="true" outlineLevel="0" collapsed="false">
      <c r="A6" s="54" t="s">
        <v>107</v>
      </c>
      <c r="B6" s="61" t="n">
        <f aca="false">COUNTIFS('Expense Data'!D:D,"Q1",'Expense Data'!L:L,"Over Budget")</f>
        <v>10</v>
      </c>
      <c r="C6" s="61" t="n">
        <f aca="false">COUNTIFS('Expense Data'!D:D,"Q2",'Expense Data'!L:L,"Over Budget")</f>
        <v>7</v>
      </c>
      <c r="D6" s="61" t="n">
        <f aca="false">COUNTIFS('Expense Data'!D:D,"Q3",'Expense Data'!L:L,"Over Budget")</f>
        <v>8</v>
      </c>
      <c r="E6" s="61" t="n">
        <f aca="false">COUNTIFS('Expense Data'!D:D,"Q4",'Expense Data'!L:L,"Over Budget")</f>
        <v>8</v>
      </c>
      <c r="F6" s="61" t="n">
        <f aca="false">SUM(B6:E6)</f>
        <v>33</v>
      </c>
      <c r="G6" s="56" t="s">
        <v>103</v>
      </c>
      <c r="H6" s="56" t="s">
        <v>103</v>
      </c>
    </row>
    <row r="7" customFormat="false" ht="27.75" hidden="false" customHeight="true" outlineLevel="0" collapsed="false">
      <c r="A7" s="62" t="s">
        <v>108</v>
      </c>
      <c r="B7" s="63" t="n">
        <f aca="false">COUNTIFS('Expense Data'!D:D,"Q1",'Expense Data'!L:L,"Under Budget")</f>
        <v>17</v>
      </c>
      <c r="C7" s="63" t="n">
        <f aca="false">COUNTIFS('Expense Data'!D:D,"Q2",'Expense Data'!L:L,"Under Budget")</f>
        <v>20</v>
      </c>
      <c r="D7" s="63" t="n">
        <f aca="false">COUNTIFS('Expense Data'!D:D,"Q3",'Expense Data'!L:L,"Under Budget")</f>
        <v>19</v>
      </c>
      <c r="E7" s="63" t="n">
        <f aca="false">COUNTIFS('Expense Data'!D:D,"Q4",'Expense Data'!L:L,"Under Budget")</f>
        <v>19</v>
      </c>
      <c r="F7" s="63" t="n">
        <f aca="false">SUM(B7:E7)</f>
        <v>75</v>
      </c>
      <c r="G7" s="64" t="s">
        <v>103</v>
      </c>
      <c r="H7" s="64" t="s">
        <v>103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2026-08-26T07:57:59Z</dcterms:created>
  <dc:creator>openpyxl</dc:creator>
  <dc:description/>
  <dc:language>en-US</dc:language>
  <cp:lastModifiedBy/>
  <dcterms:modified xsi:type="dcterms:W3CDTF">2026-08-26T07:58:07Z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