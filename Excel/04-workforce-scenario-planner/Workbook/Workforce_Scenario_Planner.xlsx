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force Data" sheetId="1" state="visible" r:id="rId3"/>
    <sheet name="Scenario Planner" sheetId="2" state="visible" r:id="rId4"/>
    <sheet name="Headcount Dashboard" sheetId="3" state="visible" r:id="rId5"/>
    <sheet name="Level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<sst xmlns="http://schemas.openxmlformats.org/spreadsheetml/2006/main" count="2378" uniqueCount="441">
  <si>
    <t xml:space="preserve">Workforce Headcount &amp; Cost Data  |  FY 2024  |  201 Employees</t>
  </si>
  <si>
    <t xml:space="preserve">Source table  |  Do not edit — use Scenario Planner to model changes</t>
  </si>
  <si>
    <t xml:space="preserve">Emp ID</t>
  </si>
  <si>
    <t xml:space="preserve">Dept ID</t>
  </si>
  <si>
    <t xml:space="preserve">Department</t>
  </si>
  <si>
    <t xml:space="preserve">Division</t>
  </si>
  <si>
    <t xml:space="preserve">Reports To</t>
  </si>
  <si>
    <t xml:space="preserve">Level</t>
  </si>
  <si>
    <t xml:space="preserve">Level Name</t>
  </si>
  <si>
    <t xml:space="preserve">Base Salary</t>
  </si>
  <si>
    <t xml:space="preserve">Bonus</t>
  </si>
  <si>
    <t xml:space="preserve">Benefits</t>
  </si>
  <si>
    <t xml:space="preserve">Total Cost</t>
  </si>
  <si>
    <t xml:space="preserve">Bonus %</t>
  </si>
  <si>
    <t xml:space="preserve">Start Date</t>
  </si>
  <si>
    <t xml:space="preserve">Start Year</t>
  </si>
  <si>
    <t xml:space="preserve">Tenure (Yrs)</t>
  </si>
  <si>
    <t xml:space="preserve">Status</t>
  </si>
  <si>
    <t xml:space="preserve">Location</t>
  </si>
  <si>
    <t xml:space="preserve">Gender</t>
  </si>
  <si>
    <t xml:space="preserve">Full Time</t>
  </si>
  <si>
    <t xml:space="preserve">HC Flag</t>
  </si>
  <si>
    <t xml:space="preserve">EMP-0001</t>
  </si>
  <si>
    <t xml:space="preserve">D001</t>
  </si>
  <si>
    <t xml:space="preserve">Engineering</t>
  </si>
  <si>
    <t xml:space="preserve">Technology</t>
  </si>
  <si>
    <t xml:space="preserve">CTO</t>
  </si>
  <si>
    <t xml:space="preserve">L1</t>
  </si>
  <si>
    <t xml:space="preserve">Junior</t>
  </si>
  <si>
    <t xml:space="preserve">2022-05-01</t>
  </si>
  <si>
    <t xml:space="preserve">Active</t>
  </si>
  <si>
    <t xml:space="preserve">London</t>
  </si>
  <si>
    <t xml:space="preserve">F</t>
  </si>
  <si>
    <t xml:space="preserve">EMP-0002</t>
  </si>
  <si>
    <t xml:space="preserve">L2</t>
  </si>
  <si>
    <t xml:space="preserve">Mid-Level</t>
  </si>
  <si>
    <t xml:space="preserve">2020-03-01</t>
  </si>
  <si>
    <t xml:space="preserve">Remote</t>
  </si>
  <si>
    <t xml:space="preserve">EMP-0003</t>
  </si>
  <si>
    <t xml:space="preserve">2019-10-01</t>
  </si>
  <si>
    <t xml:space="preserve">M</t>
  </si>
  <si>
    <t xml:space="preserve">EMP-0004</t>
  </si>
  <si>
    <t xml:space="preserve">L3</t>
  </si>
  <si>
    <t xml:space="preserve">Senior</t>
  </si>
  <si>
    <t xml:space="preserve">2019-11-01</t>
  </si>
  <si>
    <t xml:space="preserve">Manchester</t>
  </si>
  <si>
    <t xml:space="preserve">EMP-0005</t>
  </si>
  <si>
    <t xml:space="preserve">2022-01-01</t>
  </si>
  <si>
    <t xml:space="preserve">Birmingham</t>
  </si>
  <si>
    <t xml:space="preserve">Non-binary</t>
  </si>
  <si>
    <t xml:space="preserve">EMP-0006</t>
  </si>
  <si>
    <t xml:space="preserve">2023-10-01</t>
  </si>
  <si>
    <t xml:space="preserve">EMP-0007</t>
  </si>
  <si>
    <t xml:space="preserve">2023-11-01</t>
  </si>
  <si>
    <t xml:space="preserve">On Leave</t>
  </si>
  <si>
    <t xml:space="preserve">EMP-0008</t>
  </si>
  <si>
    <t xml:space="preserve">2020-12-01</t>
  </si>
  <si>
    <t xml:space="preserve">Edinburgh</t>
  </si>
  <si>
    <t xml:space="preserve">EMP-0009</t>
  </si>
  <si>
    <t xml:space="preserve">2019-12-01</t>
  </si>
  <si>
    <t xml:space="preserve">EMP-0010</t>
  </si>
  <si>
    <t xml:space="preserve">2024-06-01</t>
  </si>
  <si>
    <t xml:space="preserve">EMP-0011</t>
  </si>
  <si>
    <t xml:space="preserve">EMP-0012</t>
  </si>
  <si>
    <t xml:space="preserve">L6</t>
  </si>
  <si>
    <t xml:space="preserve">Director</t>
  </si>
  <si>
    <t xml:space="preserve">2023-08-01</t>
  </si>
  <si>
    <t xml:space="preserve">EMP-0013</t>
  </si>
  <si>
    <t xml:space="preserve">2021-11-01</t>
  </si>
  <si>
    <t xml:space="preserve">EMP-0014</t>
  </si>
  <si>
    <t xml:space="preserve">2024-02-01</t>
  </si>
  <si>
    <t xml:space="preserve">EMP-0015</t>
  </si>
  <si>
    <t xml:space="preserve">2024-07-01</t>
  </si>
  <si>
    <t xml:space="preserve">EMP-0016</t>
  </si>
  <si>
    <t xml:space="preserve">2022-06-01</t>
  </si>
  <si>
    <t xml:space="preserve">Bristol</t>
  </si>
  <si>
    <t xml:space="preserve">EMP-0017</t>
  </si>
  <si>
    <t xml:space="preserve">2024-03-01</t>
  </si>
  <si>
    <t xml:space="preserve">EMP-0018</t>
  </si>
  <si>
    <t xml:space="preserve">L4</t>
  </si>
  <si>
    <t xml:space="preserve">Lead</t>
  </si>
  <si>
    <t xml:space="preserve">2023-07-01</t>
  </si>
  <si>
    <t xml:space="preserve">Contractor</t>
  </si>
  <si>
    <t xml:space="preserve">EMP-0019</t>
  </si>
  <si>
    <t xml:space="preserve">EMP-0020</t>
  </si>
  <si>
    <t xml:space="preserve">2022-07-01</t>
  </si>
  <si>
    <t xml:space="preserve">EMP-0021</t>
  </si>
  <si>
    <t xml:space="preserve">2024-12-01</t>
  </si>
  <si>
    <t xml:space="preserve">EMP-0022</t>
  </si>
  <si>
    <t xml:space="preserve">2023-09-01</t>
  </si>
  <si>
    <t xml:space="preserve">EMP-0023</t>
  </si>
  <si>
    <t xml:space="preserve">2023-06-01</t>
  </si>
  <si>
    <t xml:space="preserve">EMP-0024</t>
  </si>
  <si>
    <t xml:space="preserve">L5</t>
  </si>
  <si>
    <t xml:space="preserve">Manager</t>
  </si>
  <si>
    <t xml:space="preserve">2019-09-01</t>
  </si>
  <si>
    <t xml:space="preserve">EMP-0025</t>
  </si>
  <si>
    <t xml:space="preserve">L7</t>
  </si>
  <si>
    <t xml:space="preserve">VP</t>
  </si>
  <si>
    <t xml:space="preserve">2020-05-01</t>
  </si>
  <si>
    <t xml:space="preserve">EMP-0026</t>
  </si>
  <si>
    <t xml:space="preserve">2023-03-01</t>
  </si>
  <si>
    <t xml:space="preserve">EMP-0027</t>
  </si>
  <si>
    <t xml:space="preserve">EMP-0028</t>
  </si>
  <si>
    <t xml:space="preserve">EMP-0029</t>
  </si>
  <si>
    <t xml:space="preserve">EMP-0030</t>
  </si>
  <si>
    <t xml:space="preserve">EMP-0031</t>
  </si>
  <si>
    <t xml:space="preserve">EMP-0032</t>
  </si>
  <si>
    <t xml:space="preserve">2021-01-01</t>
  </si>
  <si>
    <t xml:space="preserve">EMP-0033</t>
  </si>
  <si>
    <t xml:space="preserve">EMP-0034</t>
  </si>
  <si>
    <t xml:space="preserve">EMP-0035</t>
  </si>
  <si>
    <t xml:space="preserve">2020-02-01</t>
  </si>
  <si>
    <t xml:space="preserve">EMP-0036</t>
  </si>
  <si>
    <t xml:space="preserve">EMP-0037</t>
  </si>
  <si>
    <t xml:space="preserve">2023-05-01</t>
  </si>
  <si>
    <t xml:space="preserve">EMP-0038</t>
  </si>
  <si>
    <t xml:space="preserve">2021-03-01</t>
  </si>
  <si>
    <t xml:space="preserve">EMP-0039</t>
  </si>
  <si>
    <t xml:space="preserve">2020-01-01</t>
  </si>
  <si>
    <t xml:space="preserve">EMP-0040</t>
  </si>
  <si>
    <t xml:space="preserve">2021-08-01</t>
  </si>
  <si>
    <t xml:space="preserve">EMP-0041</t>
  </si>
  <si>
    <t xml:space="preserve">EMP-0042</t>
  </si>
  <si>
    <t xml:space="preserve">2022-02-01</t>
  </si>
  <si>
    <t xml:space="preserve">EMP-0043</t>
  </si>
  <si>
    <t xml:space="preserve">2022-03-01</t>
  </si>
  <si>
    <t xml:space="preserve">EMP-0044</t>
  </si>
  <si>
    <t xml:space="preserve">EMP-0045</t>
  </si>
  <si>
    <t xml:space="preserve">EMP-0046</t>
  </si>
  <si>
    <t xml:space="preserve">D002</t>
  </si>
  <si>
    <t xml:space="preserve">Product</t>
  </si>
  <si>
    <t xml:space="preserve">2020-09-01</t>
  </si>
  <si>
    <t xml:space="preserve">EMP-0047</t>
  </si>
  <si>
    <t xml:space="preserve">EMP-0048</t>
  </si>
  <si>
    <t xml:space="preserve">2019-05-01</t>
  </si>
  <si>
    <t xml:space="preserve">EMP-0049</t>
  </si>
  <si>
    <t xml:space="preserve">EMP-0050</t>
  </si>
  <si>
    <t xml:space="preserve">2019-02-01</t>
  </si>
  <si>
    <t xml:space="preserve">EMP-0051</t>
  </si>
  <si>
    <t xml:space="preserve">2020-07-01</t>
  </si>
  <si>
    <t xml:space="preserve">EMP-0052</t>
  </si>
  <si>
    <t xml:space="preserve">EMP-0053</t>
  </si>
  <si>
    <t xml:space="preserve">EMP-0054</t>
  </si>
  <si>
    <t xml:space="preserve">2019-06-01</t>
  </si>
  <si>
    <t xml:space="preserve">EMP-0055</t>
  </si>
  <si>
    <t xml:space="preserve">EMP-0056</t>
  </si>
  <si>
    <t xml:space="preserve">2019-01-01</t>
  </si>
  <si>
    <t xml:space="preserve">EMP-0057</t>
  </si>
  <si>
    <t xml:space="preserve">EMP-0058</t>
  </si>
  <si>
    <t xml:space="preserve">EMP-0059</t>
  </si>
  <si>
    <t xml:space="preserve">2021-09-01</t>
  </si>
  <si>
    <t xml:space="preserve">EMP-0060</t>
  </si>
  <si>
    <t xml:space="preserve">EMP-0061</t>
  </si>
  <si>
    <t xml:space="preserve">2021-07-01</t>
  </si>
  <si>
    <t xml:space="preserve">EMP-0062</t>
  </si>
  <si>
    <t xml:space="preserve">2024-01-01</t>
  </si>
  <si>
    <t xml:space="preserve">EMP-0063</t>
  </si>
  <si>
    <t xml:space="preserve">EMP-0064</t>
  </si>
  <si>
    <t xml:space="preserve">D003</t>
  </si>
  <si>
    <t xml:space="preserve">Data &amp; Analytics</t>
  </si>
  <si>
    <t xml:space="preserve">EMP-0065</t>
  </si>
  <si>
    <t xml:space="preserve">2021-05-01</t>
  </si>
  <si>
    <t xml:space="preserve">EMP-0066</t>
  </si>
  <si>
    <t xml:space="preserve">EMP-0067</t>
  </si>
  <si>
    <t xml:space="preserve">2020-04-01</t>
  </si>
  <si>
    <t xml:space="preserve">EMP-0068</t>
  </si>
  <si>
    <t xml:space="preserve">EMP-0069</t>
  </si>
  <si>
    <t xml:space="preserve">2021-10-01</t>
  </si>
  <si>
    <t xml:space="preserve">EMP-0070</t>
  </si>
  <si>
    <t xml:space="preserve">EMP-0071</t>
  </si>
  <si>
    <t xml:space="preserve">2020-08-01</t>
  </si>
  <si>
    <t xml:space="preserve">EMP-0072</t>
  </si>
  <si>
    <t xml:space="preserve">EMP-0073</t>
  </si>
  <si>
    <t xml:space="preserve">EMP-0074</t>
  </si>
  <si>
    <t xml:space="preserve">EMP-0075</t>
  </si>
  <si>
    <t xml:space="preserve">2023-02-01</t>
  </si>
  <si>
    <t xml:space="preserve">EMP-0076</t>
  </si>
  <si>
    <t xml:space="preserve">D004</t>
  </si>
  <si>
    <t xml:space="preserve">Sales</t>
  </si>
  <si>
    <t xml:space="preserve">Revenue</t>
  </si>
  <si>
    <t xml:space="preserve">CRO</t>
  </si>
  <si>
    <t xml:space="preserve">EMP-0077</t>
  </si>
  <si>
    <t xml:space="preserve">EMP-0078</t>
  </si>
  <si>
    <t xml:space="preserve">EMP-0079</t>
  </si>
  <si>
    <t xml:space="preserve">EMP-0080</t>
  </si>
  <si>
    <t xml:space="preserve">2024-04-01</t>
  </si>
  <si>
    <t xml:space="preserve">EMP-0081</t>
  </si>
  <si>
    <t xml:space="preserve">EMP-0082</t>
  </si>
  <si>
    <t xml:space="preserve">EMP-0083</t>
  </si>
  <si>
    <t xml:space="preserve">2022-11-01</t>
  </si>
  <si>
    <t xml:space="preserve">EMP-0084</t>
  </si>
  <si>
    <t xml:space="preserve">EMP-0085</t>
  </si>
  <si>
    <t xml:space="preserve">EMP-0086</t>
  </si>
  <si>
    <t xml:space="preserve">2021-06-01</t>
  </si>
  <si>
    <t xml:space="preserve">EMP-0087</t>
  </si>
  <si>
    <t xml:space="preserve">2023-12-01</t>
  </si>
  <si>
    <t xml:space="preserve">EMP-0088</t>
  </si>
  <si>
    <t xml:space="preserve">EMP-0089</t>
  </si>
  <si>
    <t xml:space="preserve">2022-09-01</t>
  </si>
  <si>
    <t xml:space="preserve">EMP-0090</t>
  </si>
  <si>
    <t xml:space="preserve">2022-04-01</t>
  </si>
  <si>
    <t xml:space="preserve">EMP-0091</t>
  </si>
  <si>
    <t xml:space="preserve">2022-12-01</t>
  </si>
  <si>
    <t xml:space="preserve">EMP-0092</t>
  </si>
  <si>
    <t xml:space="preserve">EMP-0093</t>
  </si>
  <si>
    <t xml:space="preserve">EMP-0094</t>
  </si>
  <si>
    <t xml:space="preserve">2024-08-01</t>
  </si>
  <si>
    <t xml:space="preserve">EMP-0095</t>
  </si>
  <si>
    <t xml:space="preserve">EMP-0096</t>
  </si>
  <si>
    <t xml:space="preserve">EMP-0097</t>
  </si>
  <si>
    <t xml:space="preserve">EMP-0098</t>
  </si>
  <si>
    <t xml:space="preserve">EMP-0099</t>
  </si>
  <si>
    <t xml:space="preserve">EMP-0100</t>
  </si>
  <si>
    <t xml:space="preserve">EMP-0101</t>
  </si>
  <si>
    <t xml:space="preserve">EMP-0102</t>
  </si>
  <si>
    <t xml:space="preserve">EMP-0103</t>
  </si>
  <si>
    <t xml:space="preserve">2021-12-01</t>
  </si>
  <si>
    <t xml:space="preserve">EMP-0104</t>
  </si>
  <si>
    <t xml:space="preserve">EMP-0105</t>
  </si>
  <si>
    <t xml:space="preserve">EMP-0106</t>
  </si>
  <si>
    <t xml:space="preserve">EMP-0107</t>
  </si>
  <si>
    <t xml:space="preserve">EMP-0108</t>
  </si>
  <si>
    <t xml:space="preserve">EMP-0109</t>
  </si>
  <si>
    <t xml:space="preserve">EMP-0110</t>
  </si>
  <si>
    <t xml:space="preserve">EMP-0111</t>
  </si>
  <si>
    <t xml:space="preserve">D005</t>
  </si>
  <si>
    <t xml:space="preserve">Marketing</t>
  </si>
  <si>
    <t xml:space="preserve">EMP-0112</t>
  </si>
  <si>
    <t xml:space="preserve">EMP-0113</t>
  </si>
  <si>
    <t xml:space="preserve">2020-10-01</t>
  </si>
  <si>
    <t xml:space="preserve">EMP-0114</t>
  </si>
  <si>
    <t xml:space="preserve">2020-06-01</t>
  </si>
  <si>
    <t xml:space="preserve">EMP-0115</t>
  </si>
  <si>
    <t xml:space="preserve">EMP-0116</t>
  </si>
  <si>
    <t xml:space="preserve">2019-07-01</t>
  </si>
  <si>
    <t xml:space="preserve">EMP-0117</t>
  </si>
  <si>
    <t xml:space="preserve">EMP-0118</t>
  </si>
  <si>
    <t xml:space="preserve">EMP-0119</t>
  </si>
  <si>
    <t xml:space="preserve">2024-10-01</t>
  </si>
  <si>
    <t xml:space="preserve">EMP-0120</t>
  </si>
  <si>
    <t xml:space="preserve">EMP-0121</t>
  </si>
  <si>
    <t xml:space="preserve">EMP-0122</t>
  </si>
  <si>
    <t xml:space="preserve">EMP-0123</t>
  </si>
  <si>
    <t xml:space="preserve">EMP-0124</t>
  </si>
  <si>
    <t xml:space="preserve">EMP-0125</t>
  </si>
  <si>
    <t xml:space="preserve">EMP-0126</t>
  </si>
  <si>
    <t xml:space="preserve">EMP-0127</t>
  </si>
  <si>
    <t xml:space="preserve">2024-05-01</t>
  </si>
  <si>
    <t xml:space="preserve">EMP-0128</t>
  </si>
  <si>
    <t xml:space="preserve">EMP-0129</t>
  </si>
  <si>
    <t xml:space="preserve">EMP-0130</t>
  </si>
  <si>
    <t xml:space="preserve">EMP-0131</t>
  </si>
  <si>
    <t xml:space="preserve">D006</t>
  </si>
  <si>
    <t xml:space="preserve">Customer Success</t>
  </si>
  <si>
    <t xml:space="preserve">EMP-0132</t>
  </si>
  <si>
    <t xml:space="preserve">EMP-0133</t>
  </si>
  <si>
    <t xml:space="preserve">2019-04-01</t>
  </si>
  <si>
    <t xml:space="preserve">EMP-0134</t>
  </si>
  <si>
    <t xml:space="preserve">EMP-0135</t>
  </si>
  <si>
    <t xml:space="preserve">EMP-0136</t>
  </si>
  <si>
    <t xml:space="preserve">EMP-0137</t>
  </si>
  <si>
    <t xml:space="preserve">EMP-0138</t>
  </si>
  <si>
    <t xml:space="preserve">EMP-0139</t>
  </si>
  <si>
    <t xml:space="preserve">EMP-0140</t>
  </si>
  <si>
    <t xml:space="preserve">EMP-0141</t>
  </si>
  <si>
    <t xml:space="preserve">EMP-0142</t>
  </si>
  <si>
    <t xml:space="preserve">2023-04-01</t>
  </si>
  <si>
    <t xml:space="preserve">EMP-0143</t>
  </si>
  <si>
    <t xml:space="preserve">EMP-0144</t>
  </si>
  <si>
    <t xml:space="preserve">EMP-0145</t>
  </si>
  <si>
    <t xml:space="preserve">EMP-0146</t>
  </si>
  <si>
    <t xml:space="preserve">EMP-0147</t>
  </si>
  <si>
    <t xml:space="preserve">EMP-0148</t>
  </si>
  <si>
    <t xml:space="preserve">EMP-0149</t>
  </si>
  <si>
    <t xml:space="preserve">EMP-0150</t>
  </si>
  <si>
    <t xml:space="preserve">EMP-0151</t>
  </si>
  <si>
    <t xml:space="preserve">EMP-0152</t>
  </si>
  <si>
    <t xml:space="preserve">EMP-0153</t>
  </si>
  <si>
    <t xml:space="preserve">EMP-0154</t>
  </si>
  <si>
    <t xml:space="preserve">EMP-0155</t>
  </si>
  <si>
    <t xml:space="preserve">EMP-0156</t>
  </si>
  <si>
    <t xml:space="preserve">D007</t>
  </si>
  <si>
    <t xml:space="preserve">Finance</t>
  </si>
  <si>
    <t xml:space="preserve">Operations</t>
  </si>
  <si>
    <t xml:space="preserve">COO</t>
  </si>
  <si>
    <t xml:space="preserve">2019-08-01</t>
  </si>
  <si>
    <t xml:space="preserve">EMP-0157</t>
  </si>
  <si>
    <t xml:space="preserve">EMP-0158</t>
  </si>
  <si>
    <t xml:space="preserve">EMP-0159</t>
  </si>
  <si>
    <t xml:space="preserve">EMP-0160</t>
  </si>
  <si>
    <t xml:space="preserve">EMP-0161</t>
  </si>
  <si>
    <t xml:space="preserve">EMP-0162</t>
  </si>
  <si>
    <t xml:space="preserve">EMP-0163</t>
  </si>
  <si>
    <t xml:space="preserve">EMP-0164</t>
  </si>
  <si>
    <t xml:space="preserve">EMP-0165</t>
  </si>
  <si>
    <t xml:space="preserve">2022-10-01</t>
  </si>
  <si>
    <t xml:space="preserve">EMP-0166</t>
  </si>
  <si>
    <t xml:space="preserve">EMP-0167</t>
  </si>
  <si>
    <t xml:space="preserve">EMP-0168</t>
  </si>
  <si>
    <t xml:space="preserve">D008</t>
  </si>
  <si>
    <t xml:space="preserve">HR &amp; People</t>
  </si>
  <si>
    <t xml:space="preserve">EMP-0169</t>
  </si>
  <si>
    <t xml:space="preserve">EMP-0170</t>
  </si>
  <si>
    <t xml:space="preserve">2021-02-01</t>
  </si>
  <si>
    <t xml:space="preserve">EMP-0171</t>
  </si>
  <si>
    <t xml:space="preserve">EMP-0172</t>
  </si>
  <si>
    <t xml:space="preserve">EMP-0173</t>
  </si>
  <si>
    <t xml:space="preserve">EMP-0174</t>
  </si>
  <si>
    <t xml:space="preserve">EMP-0175</t>
  </si>
  <si>
    <t xml:space="preserve">EMP-0176</t>
  </si>
  <si>
    <t xml:space="preserve">D009</t>
  </si>
  <si>
    <t xml:space="preserve">Legal</t>
  </si>
  <si>
    <t xml:space="preserve">EMP-0177</t>
  </si>
  <si>
    <t xml:space="preserve">EMP-0178</t>
  </si>
  <si>
    <t xml:space="preserve">EMP-0179</t>
  </si>
  <si>
    <t xml:space="preserve">2021-04-01</t>
  </si>
  <si>
    <t xml:space="preserve">EMP-0180</t>
  </si>
  <si>
    <t xml:space="preserve">EMP-0181</t>
  </si>
  <si>
    <t xml:space="preserve">EMP-0182</t>
  </si>
  <si>
    <t xml:space="preserve">D010</t>
  </si>
  <si>
    <t xml:space="preserve">EMP-0183</t>
  </si>
  <si>
    <t xml:space="preserve">EMP-0184</t>
  </si>
  <si>
    <t xml:space="preserve">EMP-0185</t>
  </si>
  <si>
    <t xml:space="preserve">2019-03-01</t>
  </si>
  <si>
    <t xml:space="preserve">EMP-0186</t>
  </si>
  <si>
    <t xml:space="preserve">EMP-0187</t>
  </si>
  <si>
    <t xml:space="preserve">EMP-0188</t>
  </si>
  <si>
    <t xml:space="preserve">EMP-0189</t>
  </si>
  <si>
    <t xml:space="preserve">EMP-0190</t>
  </si>
  <si>
    <t xml:space="preserve">EMP-0191</t>
  </si>
  <si>
    <t xml:space="preserve">EMP-0192</t>
  </si>
  <si>
    <t xml:space="preserve">EMP-0193</t>
  </si>
  <si>
    <t xml:space="preserve">EMP-0194</t>
  </si>
  <si>
    <t xml:space="preserve">2024-09-01</t>
  </si>
  <si>
    <t xml:space="preserve">EMP-0195</t>
  </si>
  <si>
    <t xml:space="preserve">EMP-0196</t>
  </si>
  <si>
    <t xml:space="preserve">EMP-0197</t>
  </si>
  <si>
    <t xml:space="preserve">EMP-0198</t>
  </si>
  <si>
    <t xml:space="preserve">EMP-0199</t>
  </si>
  <si>
    <t xml:space="preserve">EMP-0200</t>
  </si>
  <si>
    <t xml:space="preserve">EMP-0201</t>
  </si>
  <si>
    <t xml:space="preserve">Workforce Cost Scenario Planner  |  What-If Analysis</t>
  </si>
  <si>
    <t xml:space="preserve">Change the yellow input cells to model different hiring and salary scenarios</t>
  </si>
  <si>
    <t xml:space="preserve">BASELINE — CURRENT STATE</t>
  </si>
  <si>
    <t xml:space="preserve">SCENARIO INPUTS  ← Change yellow cells</t>
  </si>
  <si>
    <t xml:space="preserve">Total Headcount</t>
  </si>
  <si>
    <t xml:space="preserve">Headcount change (%)</t>
  </si>
  <si>
    <t xml:space="preserve">e.g. 0.10 = hire 10% more staff</t>
  </si>
  <si>
    <t xml:space="preserve">Total Base Salary</t>
  </si>
  <si>
    <t xml:space="preserve">Salary increase (%)</t>
  </si>
  <si>
    <t xml:space="preserve">Annual pay rise across all staff</t>
  </si>
  <si>
    <t xml:space="preserve">Total Bonus Cost</t>
  </si>
  <si>
    <t xml:space="preserve">Bonus change (%)</t>
  </si>
  <si>
    <t xml:space="preserve">Change to bonus pool (+ or -)</t>
  </si>
  <si>
    <t xml:space="preserve">Total Benefits Cost</t>
  </si>
  <si>
    <t xml:space="preserve">New hire avg salary (£)</t>
  </si>
  <si>
    <t xml:space="preserve">Average salary for new hires</t>
  </si>
  <si>
    <t xml:space="preserve">Total People Cost</t>
  </si>
  <si>
    <t xml:space="preserve">Benefits rate (%)</t>
  </si>
  <si>
    <t xml:space="preserve">Benefits as % of base salary</t>
  </si>
  <si>
    <t xml:space="preserve">Avg Cost Per Employee</t>
  </si>
  <si>
    <t xml:space="preserve">Scenario name</t>
  </si>
  <si>
    <t xml:space="preserve">Growth +10%</t>
  </si>
  <si>
    <t xml:space="preserve">Label for this scenario</t>
  </si>
  <si>
    <t xml:space="preserve">SCENARIO RESULTS — MODELLED STATE</t>
  </si>
  <si>
    <t xml:space="preserve">VARIANCE vs BASELINE</t>
  </si>
  <si>
    <t xml:space="preserve">Scenario Headcount</t>
  </si>
  <si>
    <t xml:space="preserve">vs Baseline HC</t>
  </si>
  <si>
    <t xml:space="preserve">New Hires</t>
  </si>
  <si>
    <t xml:space="preserve">New Hire Cost</t>
  </si>
  <si>
    <t xml:space="preserve">""</t>
  </si>
  <si>
    <t xml:space="preserve">Scenario Base Salary</t>
  </si>
  <si>
    <t xml:space="preserve">Salary Delta</t>
  </si>
  <si>
    <t xml:space="preserve">Scenario Bonus</t>
  </si>
  <si>
    <t xml:space="preserve">Bonus Delta</t>
  </si>
  <si>
    <t xml:space="preserve">Scenario Benefits</t>
  </si>
  <si>
    <t xml:space="preserve">Benefits Delta</t>
  </si>
  <si>
    <t xml:space="preserve">Scenario Total Cost</t>
  </si>
  <si>
    <t xml:space="preserve">TOTAL COST DELTA</t>
  </si>
  <si>
    <t xml:space="preserve">Cost Per Employee</t>
  </si>
  <si>
    <t xml:space="preserve">Cost Per Head Δ</t>
  </si>
  <si>
    <t xml:space="preserve">PRESET SCENARIOS — Compare three strategies side by side</t>
  </si>
  <si>
    <t xml:space="preserve">Metric</t>
  </si>
  <si>
    <t xml:space="preserve">Freeze Headcount</t>
  </si>
  <si>
    <t xml:space="preserve">Rapid Growth +25%</t>
  </si>
  <si>
    <t xml:space="preserve">Cost Reduction -10%</t>
  </si>
  <si>
    <t xml:space="preserve">Headcount</t>
  </si>
  <si>
    <t xml:space="preserve">Base Salary (£)</t>
  </si>
  <si>
    <t xml:space="preserve">£14,118,000</t>
  </si>
  <si>
    <t xml:space="preserve">£15,545,000</t>
  </si>
  <si>
    <t xml:space="preserve">£17,651,000</t>
  </si>
  <si>
    <t xml:space="preserve">£12,706,000</t>
  </si>
  <si>
    <t xml:space="preserve">Bonus Cost (£)</t>
  </si>
  <si>
    <t xml:space="preserve">£1,236,000</t>
  </si>
  <si>
    <t xml:space="preserve">£1,360,000</t>
  </si>
  <si>
    <t xml:space="preserve">£1,544,000</t>
  </si>
  <si>
    <t xml:space="preserve">£1,112,000</t>
  </si>
  <si>
    <t xml:space="preserve">Benefits (£)</t>
  </si>
  <si>
    <t xml:space="preserve">£2,541,000</t>
  </si>
  <si>
    <t xml:space="preserve">£2,930,000</t>
  </si>
  <si>
    <t xml:space="preserve">£3,591,000</t>
  </si>
  <si>
    <t xml:space="preserve">£2,287,000</t>
  </si>
  <si>
    <t xml:space="preserve">Total Cost (£)</t>
  </si>
  <si>
    <t xml:space="preserve">£17,895,000</t>
  </si>
  <si>
    <t xml:space="preserve">£19,835,000</t>
  </si>
  <si>
    <t xml:space="preserve">£22,786,000</t>
  </si>
  <si>
    <t xml:space="preserve">£16,105,000</t>
  </si>
  <si>
    <t xml:space="preserve">vs Baseline</t>
  </si>
  <si>
    <t xml:space="preserve">-£1,304,000</t>
  </si>
  <si>
    <t xml:space="preserve">+£636,000</t>
  </si>
  <si>
    <t xml:space="preserve">+£3,587,000</t>
  </si>
  <si>
    <t xml:space="preserve">-£3,094,000</t>
  </si>
  <si>
    <t xml:space="preserve">Cost per head (£)</t>
  </si>
  <si>
    <t xml:space="preserve">£89,030</t>
  </si>
  <si>
    <t xml:space="preserve">£89,752</t>
  </si>
  <si>
    <t xml:space="preserve">£90,781</t>
  </si>
  <si>
    <t xml:space="preserve">£88,978</t>
  </si>
  <si>
    <t xml:space="preserve">Scenario type</t>
  </si>
  <si>
    <t xml:space="preserve">Defensive</t>
  </si>
  <si>
    <t xml:space="preserve">Moderate growth</t>
  </si>
  <si>
    <t xml:space="preserve">Aggressive</t>
  </si>
  <si>
    <t xml:space="preserve">Cost-saving</t>
  </si>
  <si>
    <t xml:space="preserve">Headcount &amp; Cost Dashboard  |  Current State Analysis  |  FY 2024</t>
  </si>
  <si>
    <t xml:space="preserve">TOTAL HEADCOUNT</t>
  </si>
  <si>
    <t xml:space="preserve">TOTAL COST</t>
  </si>
  <si>
    <t xml:space="preserve">AVG BASE SALARY</t>
  </si>
  <si>
    <t xml:space="preserve">CONTRACTORS</t>
  </si>
  <si>
    <t xml:space="preserve">AVG TENURE</t>
  </si>
  <si>
    <t xml:space="preserve">REMOTE</t>
  </si>
  <si>
    <t xml:space="preserve">DEPARTMENT SUMMARY</t>
  </si>
  <si>
    <t xml:space="preserve">Cost/Head</t>
  </si>
  <si>
    <t xml:space="preserve">Avg Tenure</t>
  </si>
  <si>
    <t xml:space="preserve">% of HC</t>
  </si>
  <si>
    <t xml:space="preserve">TOTAL</t>
  </si>
  <si>
    <t xml:space="preserve">All</t>
  </si>
  <si>
    <t xml:space="preserve">1</t>
  </si>
  <si>
    <t xml:space="preserve">Workforce Level &amp; Grade Analysis  |  Salary Band Review</t>
  </si>
  <si>
    <t xml:space="preserve">Avg Base Salary</t>
  </si>
  <si>
    <t xml:space="preserve">Min Salary</t>
  </si>
  <si>
    <t xml:space="preserve">Max Salary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</si>
</sst>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@"/>
    <numFmt numFmtId="169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0F172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b val="true"/>
      <sz val="12"/>
      <color rgb="FF2563EB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2"/>
      <color rgb="FF1E40AF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2"/>
      <color rgb="FF16A34A"/>
      <name val="Calibri"/>
      <family val="0"/>
      <charset val="1"/>
    </font>
    <font>
      <b val="true"/>
      <sz val="12"/>
      <color rgb="FFD97706"/>
      <name val="Calibri"/>
      <family val="0"/>
      <charset val="1"/>
    </font>
    <font>
      <b val="true"/>
      <sz val="10"/>
      <color rgb="FF0D9488"/>
      <name val="Calibri"/>
      <family val="0"/>
      <charset val="1"/>
    </font>
    <font>
      <b val="true"/>
      <sz val="12"/>
      <color rgb="FF0D9488"/>
      <name val="Calibri"/>
      <family val="0"/>
      <charset val="1"/>
    </font>
    <font>
      <b val="true"/>
      <sz val="10"/>
      <color rgb="FF7C3AED"/>
      <name val="Calibri"/>
      <family val="0"/>
      <charset val="1"/>
    </font>
    <font>
      <b val="true"/>
      <sz val="12"/>
      <color rgb="FF7C3AED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2"/>
      <color rgb="FF64748B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9"/>
      <color rgb="FF2563EB"/>
      <name val="Calibri"/>
      <family val="0"/>
      <charset val="1"/>
    </font>
    <font>
      <b val="true"/>
      <sz val="9"/>
      <color rgb="FF16A34A"/>
      <name val="Calibri"/>
      <family val="0"/>
      <charset val="1"/>
    </font>
    <font>
      <b val="true"/>
      <sz val="9"/>
      <color rgb="FFDB2777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8"/>
      <color rgb="FF2563EB"/>
      <name val="Calibri"/>
      <family val="0"/>
      <charset val="1"/>
    </font>
    <font>
      <b val="true"/>
      <sz val="8"/>
      <color rgb="FF7C3AED"/>
      <name val="Calibri"/>
      <family val="0"/>
      <charset val="1"/>
    </font>
    <font>
      <b val="true"/>
      <sz val="8"/>
      <color rgb="FF16A34A"/>
      <name val="Calibri"/>
      <family val="0"/>
      <charset val="1"/>
    </font>
    <font>
      <b val="true"/>
      <sz val="8"/>
      <color rgb="FFD97706"/>
      <name val="Calibri"/>
      <family val="0"/>
      <charset val="1"/>
    </font>
    <font>
      <b val="true"/>
      <sz val="8"/>
      <color rgb="FF0D9488"/>
      <name val="Calibri"/>
      <family val="0"/>
      <charset val="1"/>
    </font>
    <font>
      <b val="true"/>
      <sz val="8"/>
      <color rgb="FF64748B"/>
      <name val="Calibri"/>
      <family val="0"/>
      <charset val="1"/>
    </font>
    <font>
      <b val="true"/>
      <sz val="16"/>
      <color rgb="FF2563EB"/>
      <name val="Calibri"/>
      <family val="0"/>
      <charset val="1"/>
    </font>
    <font>
      <b val="true"/>
      <sz val="16"/>
      <color rgb="FF7C3AED"/>
      <name val="Calibri"/>
      <family val="0"/>
      <charset val="1"/>
    </font>
    <font>
      <b val="true"/>
      <sz val="16"/>
      <color rgb="FF16A34A"/>
      <name val="Calibri"/>
      <family val="0"/>
      <charset val="1"/>
    </font>
    <font>
      <b val="true"/>
      <sz val="16"/>
      <color rgb="FFD97706"/>
      <name val="Calibri"/>
      <family val="0"/>
      <charset val="1"/>
    </font>
    <font>
      <b val="true"/>
      <sz val="16"/>
      <color rgb="FF0D9488"/>
      <name val="Calibri"/>
      <family val="0"/>
      <charset val="1"/>
    </font>
    <font>
      <b val="true"/>
      <sz val="16"/>
      <color rgb="FF64748B"/>
      <name val="Calibri"/>
      <family val="0"/>
      <charset val="1"/>
    </font>
    <font>
      <sz val="9"/>
      <color rgb="FF2563EB"/>
      <name val="Calibri"/>
      <family val="0"/>
      <charset val="1"/>
    </font>
    <font>
      <sz val="9"/>
      <color rgb="FF0F172A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sz val="9"/>
      <color rgb="FF16A34A"/>
      <name val="Calibri"/>
      <family val="0"/>
      <charset val="1"/>
    </font>
    <font>
      <sz val="9"/>
      <color rgb="FFD97706"/>
      <name val="Calibri"/>
      <family val="0"/>
      <charset val="1"/>
    </font>
    <font>
      <b val="true"/>
      <sz val="9"/>
      <color rgb="FFDC2626"/>
      <name val="Calibri"/>
      <family val="0"/>
      <charset val="1"/>
    </font>
    <font>
      <b val="true"/>
      <sz val="9"/>
      <color rgb="FF7C3AED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1F5F9"/>
        <bgColor rgb="FFF9F9F9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D97706"/>
        <bgColor rgb="FFFF9900"/>
      </patternFill>
    </fill>
    <fill>
      <patternFill patternType="solid">
        <fgColor rgb="FFDBEAFE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FEF08A"/>
        <bgColor rgb="FFFEF3C7"/>
      </patternFill>
    </fill>
    <fill>
      <patternFill patternType="solid">
        <fgColor rgb="FFDCFCE7"/>
        <bgColor rgb="FFCCFBF1"/>
      </patternFill>
    </fill>
    <fill>
      <patternFill patternType="solid">
        <fgColor rgb="FFCCFBF1"/>
        <bgColor rgb="FFDCFCE7"/>
      </patternFill>
    </fill>
    <fill>
      <patternFill patternType="solid">
        <fgColor rgb="FFEDE9FE"/>
        <bgColor rgb="FFFCE7F3"/>
      </patternFill>
    </fill>
    <fill>
      <patternFill patternType="solid">
        <fgColor rgb="FF7C3AED"/>
        <bgColor rgb="FF8064A2"/>
      </patternFill>
    </fill>
    <fill>
      <patternFill patternType="solid">
        <fgColor rgb="FFFEE2E2"/>
        <bgColor rgb="FFFCE7F3"/>
      </patternFill>
    </fill>
    <fill>
      <patternFill patternType="solid">
        <fgColor rgb="FF0D9488"/>
        <bgColor rgb="FF008080"/>
      </patternFill>
    </fill>
    <fill>
      <patternFill patternType="solid">
        <fgColor rgb="FFFCE7F3"/>
        <bgColor rgb="FFFEE2E2"/>
      </patternFill>
    </fill>
    <fill>
      <patternFill patternType="solid">
        <fgColor rgb="FF16A34A"/>
        <bgColor rgb="FF0D9488"/>
      </patternFill>
    </fill>
    <fill>
      <patternFill patternType="solid">
        <fgColor rgb="FF64748B"/>
        <bgColor rgb="FF8064A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 diagonalUp="false" diagonalDown="false"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16A34A"/>
      </left>
      <right style="medium">
        <color rgb="FF16A34A"/>
      </right>
      <top style="medium">
        <color rgb="FF16A34A"/>
      </top>
      <bottom style="medium">
        <color rgb="FF16A34A"/>
      </bottom>
      <diagonal/>
    </border>
    <border diagonalUp="false" diagonalDown="false"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  <border diagonalUp="false" diagonalDown="false"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  <diagonal/>
    </border>
    <border diagonalUp="false" diagonalDown="false">
      <left style="medium">
        <color rgb="FF64748B"/>
      </left>
      <right style="medium">
        <color rgb="FF64748B"/>
      </right>
      <top style="medium">
        <color rgb="FF64748B"/>
      </top>
      <bottom style="medium">
        <color rgb="FF64748B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 diagonalUp="false" diagonalDown="false"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 diagonalUp="false" diagonalDown="false"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1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2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3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4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7C3AED"/>
      <rgbColor rgb="FF0D9488"/>
      <rgbColor rgb="FFD9D9D9"/>
      <rgbColor rgb="FF878787"/>
      <rgbColor rgb="FF9999FF"/>
      <rgbColor rgb="FFC0504D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EF08A"/>
      <rgbColor rgb="FFEDE9FE"/>
      <rgbColor rgb="FFFCE7F3"/>
      <rgbColor rgb="FFF1F5F9"/>
      <rgbColor rgb="FFFEE2E2"/>
      <rgbColor rgb="FF2563EB"/>
      <rgbColor rgb="FF33CCCC"/>
      <rgbColor rgb="FF9BBB59"/>
      <rgbColor rgb="FFFFCC00"/>
      <rgbColor rgb="FFFF9900"/>
      <rgbColor rgb="FFD97706"/>
      <rgbColor rgb="FF64748B"/>
      <rgbColor rgb="FF8064A2"/>
      <rgbColor rgb="FF003366"/>
      <rgbColor rgb="FF16A34A"/>
      <rgbColor rgb="FF0F172A"/>
      <rgbColor rgb="FF333300"/>
      <rgbColor rgb="FF993300"/>
      <rgbColor rgb="FFDB2777"/>
      <rgbColor rgb="FF1E40A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People Cost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Planner'!$B$25:$E$25</c:f>
              <c:strCache>
                <c:ptCount val="4"/>
                <c:pt idx="0">
                  <c:v>Freeze Headcount</c:v>
                </c:pt>
                <c:pt idx="1">
                  <c:v>Growth +10%</c:v>
                </c:pt>
                <c:pt idx="2">
                  <c:v>Rapid Growth +25%</c:v>
                </c:pt>
                <c:pt idx="3">
                  <c:v>Cost Reduction -10%</c:v>
                </c:pt>
              </c:strCache>
            </c:strRef>
          </c:cat>
          <c:val>
            <c:numRef>
              <c:f>'Scenario Planner'!$B$30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Planner'!$B$25:$E$25</c:f>
              <c:strCache>
                <c:ptCount val="4"/>
                <c:pt idx="0">
                  <c:v>Freeze Headcount</c:v>
                </c:pt>
                <c:pt idx="1">
                  <c:v>Growth +10%</c:v>
                </c:pt>
                <c:pt idx="2">
                  <c:v>Rapid Growth +25%</c:v>
                </c:pt>
                <c:pt idx="3">
                  <c:v>Cost Reduction -10%</c:v>
                </c:pt>
              </c:strCache>
            </c:strRef>
          </c:cat>
          <c:val>
            <c:numRef>
              <c:f>'Scenario Planner'!$C$30</c:f>
              <c:numCache>
                <c:formatCode>General</c:formatCode>
                <c:ptCount val="1"/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Planner'!$B$25:$E$25</c:f>
              <c:strCache>
                <c:ptCount val="4"/>
                <c:pt idx="0">
                  <c:v>Freeze Headcount</c:v>
                </c:pt>
                <c:pt idx="1">
                  <c:v>Growth +10%</c:v>
                </c:pt>
                <c:pt idx="2">
                  <c:v>Rapid Growth +25%</c:v>
                </c:pt>
                <c:pt idx="3">
                  <c:v>Cost Reduction -10%</c:v>
                </c:pt>
              </c:strCache>
            </c:strRef>
          </c:cat>
          <c:val>
            <c:numRef>
              <c:f>'Scenario Planner'!$D$30</c:f>
              <c:numCache>
                <c:formatCode>General</c:formatCode>
                <c:ptCount val="1"/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Planner'!$B$25:$E$25</c:f>
              <c:strCache>
                <c:ptCount val="4"/>
                <c:pt idx="0">
                  <c:v>Freeze Headcount</c:v>
                </c:pt>
                <c:pt idx="1">
                  <c:v>Growth +10%</c:v>
                </c:pt>
                <c:pt idx="2">
                  <c:v>Rapid Growth +25%</c:v>
                </c:pt>
                <c:pt idx="3">
                  <c:v>Cost Reduction -10%</c:v>
                </c:pt>
              </c:strCache>
            </c:strRef>
          </c:cat>
          <c:val>
            <c:numRef>
              <c:f>'Scenario Planner'!$E$30</c:f>
              <c:numCache>
                <c:formatCode>General</c:formatCode>
                <c:ptCount val="1"/>
              </c:numCache>
            </c:numRef>
          </c:val>
        </c:ser>
        <c:gapWidth val="150"/>
        <c:overlap val="0"/>
        <c:axId val="5835676"/>
        <c:axId val="98296038"/>
      </c:barChart>
      <c:catAx>
        <c:axId val="5835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96038"/>
        <c:crosses val="autoZero"/>
        <c:auto val="1"/>
        <c:lblAlgn val="ctr"/>
        <c:lblOffset val="100"/>
        <c:noMultiLvlLbl val="0"/>
      </c:catAx>
      <c:valAx>
        <c:axId val="98296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5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'Headcount Dashboard'!C11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'Headcount Dashboard'!$A$12:$A$21</c:f>
              <c:strCache>
                <c:ptCount val="10"/>
                <c:pt idx="0">
                  <c:v>Engineering</c:v>
                </c:pt>
                <c:pt idx="1">
                  <c:v>Product</c:v>
                </c:pt>
                <c:pt idx="2">
                  <c:v>Data &amp; Analytics</c:v>
                </c:pt>
                <c:pt idx="3">
                  <c:v>Sales</c:v>
                </c:pt>
                <c:pt idx="4">
                  <c:v>Marketing</c:v>
                </c:pt>
                <c:pt idx="5">
                  <c:v>Customer Success</c:v>
                </c:pt>
                <c:pt idx="6">
                  <c:v>Finance</c:v>
                </c:pt>
                <c:pt idx="7">
                  <c:v>HR &amp; People</c:v>
                </c:pt>
                <c:pt idx="8">
                  <c:v>Legal</c:v>
                </c:pt>
                <c:pt idx="9">
                  <c:v>Operations</c:v>
                </c:pt>
              </c:strCache>
            </c:strRef>
          </c:cat>
          <c:val>
            <c:numRef>
              <c:f>'Headcount Dashboard'!$C$12:$C$21</c:f>
              <c:numCache>
                <c:formatCode>#,##0</c:formatCode>
                <c:ptCount val="10"/>
                <c:pt idx="0">
                  <c:v>45</c:v>
                </c:pt>
                <c:pt idx="1">
                  <c:v>18</c:v>
                </c:pt>
                <c:pt idx="2">
                  <c:v>12</c:v>
                </c:pt>
                <c:pt idx="3">
                  <c:v>35</c:v>
                </c:pt>
                <c:pt idx="4">
                  <c:v>20</c:v>
                </c:pt>
                <c:pt idx="5">
                  <c:v>25</c:v>
                </c:pt>
                <c:pt idx="6">
                  <c:v>12</c:v>
                </c:pt>
                <c:pt idx="7">
                  <c:v>8</c:v>
                </c:pt>
                <c:pt idx="8">
                  <c:v>6</c:v>
                </c:pt>
                <c:pt idx="9">
                  <c:v>20</c:v>
                </c:pt>
              </c:numCache>
            </c:numRef>
          </c:val>
        </c:ser>
        <c:gapWidth val="150"/>
        <c:overlap val="0"/>
        <c:axId val="76506629"/>
        <c:axId val="7129942"/>
      </c:barChart>
      <c:catAx>
        <c:axId val="76506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9942"/>
        <c:crosses val="autoZero"/>
        <c:auto val="1"/>
        <c:lblAlgn val="ctr"/>
        <c:lblOffset val="100"/>
        <c:noMultiLvlLbl val="0"/>
      </c:catAx>
      <c:valAx>
        <c:axId val="7129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066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People Cost by Department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'Headcount Dashboard'!G11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'Headcount Dashboard'!$A$12:$A$21</c:f>
              <c:strCache>
                <c:ptCount val="10"/>
                <c:pt idx="0">
                  <c:v>Engineering</c:v>
                </c:pt>
                <c:pt idx="1">
                  <c:v>Product</c:v>
                </c:pt>
                <c:pt idx="2">
                  <c:v>Data &amp; Analytics</c:v>
                </c:pt>
                <c:pt idx="3">
                  <c:v>Sales</c:v>
                </c:pt>
                <c:pt idx="4">
                  <c:v>Marketing</c:v>
                </c:pt>
                <c:pt idx="5">
                  <c:v>Customer Success</c:v>
                </c:pt>
                <c:pt idx="6">
                  <c:v>Finance</c:v>
                </c:pt>
                <c:pt idx="7">
                  <c:v>HR &amp; People</c:v>
                </c:pt>
                <c:pt idx="8">
                  <c:v>Legal</c:v>
                </c:pt>
                <c:pt idx="9">
                  <c:v>Operations</c:v>
                </c:pt>
              </c:strCache>
            </c:strRef>
          </c:cat>
          <c:val>
            <c:numRef>
              <c:f>'Headcount Dashboard'!$G$12:$G$21</c:f>
              <c:numCache>
                <c:formatCode>#,##0</c:formatCode>
                <c:ptCount val="10"/>
                <c:pt idx="0">
                  <c:v>5013100</c:v>
                </c:pt>
                <c:pt idx="1">
                  <c:v>1684100</c:v>
                </c:pt>
                <c:pt idx="2">
                  <c:v>1463800</c:v>
                </c:pt>
                <c:pt idx="3">
                  <c:v>3066100</c:v>
                </c:pt>
                <c:pt idx="4">
                  <c:v>1869900</c:v>
                </c:pt>
                <c:pt idx="5">
                  <c:v>1835500</c:v>
                </c:pt>
                <c:pt idx="6">
                  <c:v>1166100</c:v>
                </c:pt>
                <c:pt idx="7">
                  <c:v>881600</c:v>
                </c:pt>
                <c:pt idx="8">
                  <c:v>585400</c:v>
                </c:pt>
                <c:pt idx="9">
                  <c:v>1633600</c:v>
                </c:pt>
              </c:numCache>
            </c:numRef>
          </c:val>
        </c:ser>
        <c:gapWidth val="150"/>
        <c:overlap val="0"/>
        <c:axId val="73626114"/>
        <c:axId val="48185646"/>
      </c:barChart>
      <c:catAx>
        <c:axId val="73626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85646"/>
        <c:crosses val="autoZero"/>
        <c:auto val="1"/>
        <c:lblAlgn val="ctr"/>
        <c:lblOffset val="100"/>
        <c:noMultiLvlLbl val="0"/>
      </c:catAx>
      <c:valAx>
        <c:axId val="48185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26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5</xdr:col>
      <xdr:colOff>276840</xdr:colOff>
      <xdr:row>57</xdr:row>
      <xdr:rowOff>128880</xdr:rowOff>
    </xdr:to>
    <xdr:graphicFrame>
      <xdr:nvGraphicFramePr>
        <xdr:cNvPr id="0" name="Chart 1"/>
        <xdr:cNvGraphicFramePr/>
      </xdr:nvGraphicFramePr>
      <xdr:xfrm>
        <a:off x="0" y="9448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5</xdr:col>
      <xdr:colOff>136080</xdr:colOff>
      <xdr:row>45</xdr:row>
      <xdr:rowOff>128520</xdr:rowOff>
    </xdr:to>
    <xdr:graphicFrame>
      <xdr:nvGraphicFramePr>
        <xdr:cNvPr id="1" name="Chart 1"/>
        <xdr:cNvGraphicFramePr/>
      </xdr:nvGraphicFramePr>
      <xdr:xfrm>
        <a:off x="0" y="5857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11</xdr:col>
      <xdr:colOff>488520</xdr:colOff>
      <xdr:row>45</xdr:row>
      <xdr:rowOff>128520</xdr:rowOff>
    </xdr:to>
    <xdr:graphicFrame>
      <xdr:nvGraphicFramePr>
        <xdr:cNvPr id="2" name="Chart 2"/>
        <xdr:cNvGraphicFramePr/>
      </xdr:nvGraphicFramePr>
      <xdr:xfrm>
        <a:off x="7542000" y="5857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25.5" hidden="false" customHeight="tru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customFormat="false" ht="1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n">
        <v>51800</v>
      </c>
      <c r="I4" s="6" t="n">
        <v>0</v>
      </c>
      <c r="J4" s="6" t="n">
        <v>9300</v>
      </c>
      <c r="K4" s="6" t="n">
        <v>61100</v>
      </c>
      <c r="L4" s="5" t="n">
        <v>0</v>
      </c>
      <c r="M4" s="5" t="s">
        <v>29</v>
      </c>
      <c r="N4" s="5" t="n">
        <v>2022</v>
      </c>
      <c r="O4" s="7" t="n">
        <v>2.7</v>
      </c>
      <c r="P4" s="5" t="s">
        <v>30</v>
      </c>
      <c r="Q4" s="5" t="s">
        <v>31</v>
      </c>
      <c r="R4" s="5" t="s">
        <v>32</v>
      </c>
      <c r="S4" s="5" t="n">
        <v>1</v>
      </c>
      <c r="T4" s="5" t="n">
        <v>1</v>
      </c>
    </row>
    <row r="5" customFormat="false" ht="15" hidden="false" customHeight="false" outlineLevel="0" collapsed="false">
      <c r="A5" s="8" t="s">
        <v>33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34</v>
      </c>
      <c r="G5" s="8" t="s">
        <v>35</v>
      </c>
      <c r="H5" s="9" t="n">
        <v>70900</v>
      </c>
      <c r="I5" s="9" t="n">
        <v>3500</v>
      </c>
      <c r="J5" s="9" t="n">
        <v>12800</v>
      </c>
      <c r="K5" s="9" t="n">
        <v>87200</v>
      </c>
      <c r="L5" s="8" t="n">
        <v>5</v>
      </c>
      <c r="M5" s="8" t="s">
        <v>36</v>
      </c>
      <c r="N5" s="8" t="n">
        <v>2020</v>
      </c>
      <c r="O5" s="10" t="n">
        <v>4.8</v>
      </c>
      <c r="P5" s="8" t="s">
        <v>30</v>
      </c>
      <c r="Q5" s="8" t="s">
        <v>37</v>
      </c>
      <c r="R5" s="8" t="s">
        <v>32</v>
      </c>
      <c r="S5" s="8" t="n">
        <v>1</v>
      </c>
      <c r="T5" s="8" t="n">
        <v>1</v>
      </c>
    </row>
    <row r="6" customFormat="false" ht="15" hidden="false" customHeight="false" outlineLevel="0" collapsed="false">
      <c r="A6" s="5" t="s">
        <v>38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34</v>
      </c>
      <c r="G6" s="5" t="s">
        <v>35</v>
      </c>
      <c r="H6" s="6" t="n">
        <v>71600</v>
      </c>
      <c r="I6" s="6" t="n">
        <v>3600</v>
      </c>
      <c r="J6" s="6" t="n">
        <v>12900</v>
      </c>
      <c r="K6" s="6" t="n">
        <v>88100</v>
      </c>
      <c r="L6" s="5" t="n">
        <v>5</v>
      </c>
      <c r="M6" s="5" t="s">
        <v>39</v>
      </c>
      <c r="N6" s="5" t="n">
        <v>2019</v>
      </c>
      <c r="O6" s="7" t="n">
        <v>5.3</v>
      </c>
      <c r="P6" s="5" t="s">
        <v>30</v>
      </c>
      <c r="Q6" s="5" t="s">
        <v>31</v>
      </c>
      <c r="R6" s="5" t="s">
        <v>40</v>
      </c>
      <c r="S6" s="5" t="n">
        <v>1</v>
      </c>
      <c r="T6" s="5" t="n">
        <v>1</v>
      </c>
    </row>
    <row r="7" customFormat="false" ht="15" hidden="false" customHeight="false" outlineLevel="0" collapsed="false">
      <c r="A7" s="8" t="s">
        <v>41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42</v>
      </c>
      <c r="G7" s="8" t="s">
        <v>43</v>
      </c>
      <c r="H7" s="9" t="n">
        <v>96600</v>
      </c>
      <c r="I7" s="9" t="n">
        <v>7700</v>
      </c>
      <c r="J7" s="9" t="n">
        <v>17400</v>
      </c>
      <c r="K7" s="9" t="n">
        <v>121700</v>
      </c>
      <c r="L7" s="8" t="n">
        <v>8</v>
      </c>
      <c r="M7" s="8" t="s">
        <v>44</v>
      </c>
      <c r="N7" s="8" t="n">
        <v>2019</v>
      </c>
      <c r="O7" s="10" t="n">
        <v>5.2</v>
      </c>
      <c r="P7" s="8" t="s">
        <v>30</v>
      </c>
      <c r="Q7" s="8" t="s">
        <v>45</v>
      </c>
      <c r="R7" s="8" t="s">
        <v>40</v>
      </c>
      <c r="S7" s="8" t="n">
        <v>1</v>
      </c>
      <c r="T7" s="8" t="n">
        <v>1</v>
      </c>
    </row>
    <row r="8" customFormat="false" ht="15" hidden="false" customHeight="false" outlineLevel="0" collapsed="false">
      <c r="A8" s="5" t="s">
        <v>46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42</v>
      </c>
      <c r="G8" s="5" t="s">
        <v>43</v>
      </c>
      <c r="H8" s="6" t="n">
        <v>89100</v>
      </c>
      <c r="I8" s="6" t="n">
        <v>7100</v>
      </c>
      <c r="J8" s="6" t="n">
        <v>16000</v>
      </c>
      <c r="K8" s="6" t="n">
        <v>112200</v>
      </c>
      <c r="L8" s="5" t="n">
        <v>8</v>
      </c>
      <c r="M8" s="5" t="s">
        <v>47</v>
      </c>
      <c r="N8" s="5" t="n">
        <v>2022</v>
      </c>
      <c r="O8" s="7" t="n">
        <v>3</v>
      </c>
      <c r="P8" s="5" t="s">
        <v>30</v>
      </c>
      <c r="Q8" s="5" t="s">
        <v>48</v>
      </c>
      <c r="R8" s="5" t="s">
        <v>49</v>
      </c>
      <c r="S8" s="5" t="n">
        <v>1</v>
      </c>
      <c r="T8" s="5" t="n">
        <v>1</v>
      </c>
    </row>
    <row r="9" customFormat="false" ht="15" hidden="false" customHeight="false" outlineLevel="0" collapsed="false">
      <c r="A9" s="8" t="s">
        <v>50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34</v>
      </c>
      <c r="G9" s="8" t="s">
        <v>35</v>
      </c>
      <c r="H9" s="9" t="n">
        <v>67700</v>
      </c>
      <c r="I9" s="9" t="n">
        <v>3400</v>
      </c>
      <c r="J9" s="9" t="n">
        <v>12200</v>
      </c>
      <c r="K9" s="9" t="n">
        <v>83300</v>
      </c>
      <c r="L9" s="8" t="n">
        <v>5</v>
      </c>
      <c r="M9" s="8" t="s">
        <v>51</v>
      </c>
      <c r="N9" s="8" t="n">
        <v>2023</v>
      </c>
      <c r="O9" s="10" t="n">
        <v>1.3</v>
      </c>
      <c r="P9" s="8" t="s">
        <v>30</v>
      </c>
      <c r="Q9" s="8" t="s">
        <v>31</v>
      </c>
      <c r="R9" s="8" t="s">
        <v>32</v>
      </c>
      <c r="S9" s="8" t="n">
        <v>0</v>
      </c>
      <c r="T9" s="8" t="n">
        <v>1</v>
      </c>
    </row>
    <row r="10" customFormat="false" ht="15" hidden="false" customHeight="false" outlineLevel="0" collapsed="false">
      <c r="A10" s="5" t="s">
        <v>52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42</v>
      </c>
      <c r="G10" s="5" t="s">
        <v>43</v>
      </c>
      <c r="H10" s="6" t="n">
        <v>88400</v>
      </c>
      <c r="I10" s="6" t="n">
        <v>7100</v>
      </c>
      <c r="J10" s="6" t="n">
        <v>15900</v>
      </c>
      <c r="K10" s="6" t="n">
        <v>111400</v>
      </c>
      <c r="L10" s="5" t="n">
        <v>8</v>
      </c>
      <c r="M10" s="5" t="s">
        <v>53</v>
      </c>
      <c r="N10" s="5" t="n">
        <v>2023</v>
      </c>
      <c r="O10" s="7" t="n">
        <v>1.2</v>
      </c>
      <c r="P10" s="5" t="s">
        <v>54</v>
      </c>
      <c r="Q10" s="5" t="s">
        <v>37</v>
      </c>
      <c r="R10" s="5" t="s">
        <v>32</v>
      </c>
      <c r="S10" s="5" t="n">
        <v>1</v>
      </c>
      <c r="T10" s="5" t="n">
        <v>1</v>
      </c>
    </row>
    <row r="11" customFormat="false" ht="15" hidden="false" customHeight="false" outlineLevel="0" collapsed="false">
      <c r="A11" s="8" t="s">
        <v>55</v>
      </c>
      <c r="B11" s="8" t="s">
        <v>23</v>
      </c>
      <c r="C11" s="8" t="s">
        <v>24</v>
      </c>
      <c r="D11" s="8" t="s">
        <v>25</v>
      </c>
      <c r="E11" s="8" t="s">
        <v>26</v>
      </c>
      <c r="F11" s="8" t="s">
        <v>27</v>
      </c>
      <c r="G11" s="8" t="s">
        <v>28</v>
      </c>
      <c r="H11" s="9" t="n">
        <v>59200</v>
      </c>
      <c r="I11" s="9" t="n">
        <v>0</v>
      </c>
      <c r="J11" s="9" t="n">
        <v>10700</v>
      </c>
      <c r="K11" s="9" t="n">
        <v>69900</v>
      </c>
      <c r="L11" s="8" t="n">
        <v>0</v>
      </c>
      <c r="M11" s="8" t="s">
        <v>56</v>
      </c>
      <c r="N11" s="8" t="n">
        <v>2020</v>
      </c>
      <c r="O11" s="10" t="n">
        <v>4.1</v>
      </c>
      <c r="P11" s="8" t="s">
        <v>30</v>
      </c>
      <c r="Q11" s="8" t="s">
        <v>57</v>
      </c>
      <c r="R11" s="8" t="s">
        <v>32</v>
      </c>
      <c r="S11" s="8" t="n">
        <v>1</v>
      </c>
      <c r="T11" s="8" t="n">
        <v>1</v>
      </c>
    </row>
    <row r="12" customFormat="false" ht="15" hidden="false" customHeight="false" outlineLevel="0" collapsed="false">
      <c r="A12" s="5" t="s">
        <v>58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34</v>
      </c>
      <c r="G12" s="5" t="s">
        <v>35</v>
      </c>
      <c r="H12" s="6" t="n">
        <v>64900</v>
      </c>
      <c r="I12" s="6" t="n">
        <v>3200</v>
      </c>
      <c r="J12" s="6" t="n">
        <v>11700</v>
      </c>
      <c r="K12" s="6" t="n">
        <v>79800</v>
      </c>
      <c r="L12" s="5" t="n">
        <v>5</v>
      </c>
      <c r="M12" s="5" t="s">
        <v>59</v>
      </c>
      <c r="N12" s="5" t="n">
        <v>2019</v>
      </c>
      <c r="O12" s="7" t="n">
        <v>5.1</v>
      </c>
      <c r="P12" s="5" t="s">
        <v>54</v>
      </c>
      <c r="Q12" s="5" t="s">
        <v>57</v>
      </c>
      <c r="R12" s="5" t="s">
        <v>49</v>
      </c>
      <c r="S12" s="5" t="n">
        <v>1</v>
      </c>
      <c r="T12" s="5" t="n">
        <v>1</v>
      </c>
    </row>
    <row r="13" customFormat="false" ht="15" hidden="false" customHeight="false" outlineLevel="0" collapsed="false">
      <c r="A13" s="8" t="s">
        <v>60</v>
      </c>
      <c r="B13" s="8" t="s">
        <v>23</v>
      </c>
      <c r="C13" s="8" t="s">
        <v>24</v>
      </c>
      <c r="D13" s="8" t="s">
        <v>25</v>
      </c>
      <c r="E13" s="8" t="s">
        <v>26</v>
      </c>
      <c r="F13" s="8" t="s">
        <v>27</v>
      </c>
      <c r="G13" s="8" t="s">
        <v>28</v>
      </c>
      <c r="H13" s="9" t="n">
        <v>57300</v>
      </c>
      <c r="I13" s="9" t="n">
        <v>0</v>
      </c>
      <c r="J13" s="9" t="n">
        <v>10300</v>
      </c>
      <c r="K13" s="9" t="n">
        <v>67600</v>
      </c>
      <c r="L13" s="8" t="n">
        <v>0</v>
      </c>
      <c r="M13" s="8" t="s">
        <v>61</v>
      </c>
      <c r="N13" s="8" t="n">
        <v>2024</v>
      </c>
      <c r="O13" s="10" t="n">
        <v>0.6</v>
      </c>
      <c r="P13" s="8" t="s">
        <v>30</v>
      </c>
      <c r="Q13" s="8" t="s">
        <v>48</v>
      </c>
      <c r="R13" s="8" t="s">
        <v>40</v>
      </c>
      <c r="S13" s="8" t="n">
        <v>1</v>
      </c>
      <c r="T13" s="8" t="n">
        <v>1</v>
      </c>
    </row>
    <row r="14" customFormat="false" ht="15" hidden="false" customHeight="false" outlineLevel="0" collapsed="false">
      <c r="A14" s="5" t="s">
        <v>62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42</v>
      </c>
      <c r="G14" s="5" t="s">
        <v>43</v>
      </c>
      <c r="H14" s="6" t="n">
        <v>95200</v>
      </c>
      <c r="I14" s="6" t="n">
        <v>7600</v>
      </c>
      <c r="J14" s="6" t="n">
        <v>17100</v>
      </c>
      <c r="K14" s="6" t="n">
        <v>119900</v>
      </c>
      <c r="L14" s="5" t="n">
        <v>8</v>
      </c>
      <c r="M14" s="5" t="s">
        <v>44</v>
      </c>
      <c r="N14" s="5" t="n">
        <v>2019</v>
      </c>
      <c r="O14" s="7" t="n">
        <v>5.2</v>
      </c>
      <c r="P14" s="5" t="s">
        <v>30</v>
      </c>
      <c r="Q14" s="5" t="s">
        <v>57</v>
      </c>
      <c r="R14" s="5" t="s">
        <v>40</v>
      </c>
      <c r="S14" s="5" t="n">
        <v>1</v>
      </c>
      <c r="T14" s="5" t="n">
        <v>1</v>
      </c>
    </row>
    <row r="15" customFormat="false" ht="15" hidden="false" customHeight="false" outlineLevel="0" collapsed="false">
      <c r="A15" s="8" t="s">
        <v>63</v>
      </c>
      <c r="B15" s="8" t="s">
        <v>23</v>
      </c>
      <c r="C15" s="8" t="s">
        <v>24</v>
      </c>
      <c r="D15" s="8" t="s">
        <v>25</v>
      </c>
      <c r="E15" s="8" t="s">
        <v>26</v>
      </c>
      <c r="F15" s="8" t="s">
        <v>64</v>
      </c>
      <c r="G15" s="8" t="s">
        <v>65</v>
      </c>
      <c r="H15" s="9" t="n">
        <v>173000</v>
      </c>
      <c r="I15" s="9" t="n">
        <v>34600</v>
      </c>
      <c r="J15" s="9" t="n">
        <v>31100</v>
      </c>
      <c r="K15" s="9" t="n">
        <v>238700</v>
      </c>
      <c r="L15" s="8" t="n">
        <v>20</v>
      </c>
      <c r="M15" s="8" t="s">
        <v>66</v>
      </c>
      <c r="N15" s="8" t="n">
        <v>2023</v>
      </c>
      <c r="O15" s="10" t="n">
        <v>1.4</v>
      </c>
      <c r="P15" s="8" t="s">
        <v>30</v>
      </c>
      <c r="Q15" s="8" t="s">
        <v>57</v>
      </c>
      <c r="R15" s="8" t="s">
        <v>40</v>
      </c>
      <c r="S15" s="8" t="n">
        <v>1</v>
      </c>
      <c r="T15" s="8" t="n">
        <v>1</v>
      </c>
    </row>
    <row r="16" customFormat="false" ht="15" hidden="false" customHeight="false" outlineLevel="0" collapsed="false">
      <c r="A16" s="5" t="s">
        <v>67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42</v>
      </c>
      <c r="G16" s="5" t="s">
        <v>43</v>
      </c>
      <c r="H16" s="6" t="n">
        <v>81100</v>
      </c>
      <c r="I16" s="6" t="n">
        <v>6500</v>
      </c>
      <c r="J16" s="6" t="n">
        <v>14600</v>
      </c>
      <c r="K16" s="6" t="n">
        <v>102200</v>
      </c>
      <c r="L16" s="5" t="n">
        <v>8</v>
      </c>
      <c r="M16" s="5" t="s">
        <v>68</v>
      </c>
      <c r="N16" s="5" t="n">
        <v>2021</v>
      </c>
      <c r="O16" s="7" t="n">
        <v>3.2</v>
      </c>
      <c r="P16" s="5" t="s">
        <v>30</v>
      </c>
      <c r="Q16" s="5" t="s">
        <v>57</v>
      </c>
      <c r="R16" s="5" t="s">
        <v>32</v>
      </c>
      <c r="S16" s="5" t="n">
        <v>1</v>
      </c>
      <c r="T16" s="5" t="n">
        <v>1</v>
      </c>
    </row>
    <row r="17" customFormat="false" ht="15" hidden="false" customHeight="false" outlineLevel="0" collapsed="false">
      <c r="A17" s="8" t="s">
        <v>69</v>
      </c>
      <c r="B17" s="8" t="s">
        <v>23</v>
      </c>
      <c r="C17" s="8" t="s">
        <v>24</v>
      </c>
      <c r="D17" s="8" t="s">
        <v>25</v>
      </c>
      <c r="E17" s="8" t="s">
        <v>26</v>
      </c>
      <c r="F17" s="8" t="s">
        <v>42</v>
      </c>
      <c r="G17" s="8" t="s">
        <v>43</v>
      </c>
      <c r="H17" s="9" t="n">
        <v>89700</v>
      </c>
      <c r="I17" s="9" t="n">
        <v>7200</v>
      </c>
      <c r="J17" s="9" t="n">
        <v>16100</v>
      </c>
      <c r="K17" s="9" t="n">
        <v>113000</v>
      </c>
      <c r="L17" s="8" t="n">
        <v>8</v>
      </c>
      <c r="M17" s="8" t="s">
        <v>70</v>
      </c>
      <c r="N17" s="8" t="n">
        <v>2024</v>
      </c>
      <c r="O17" s="10" t="n">
        <v>0.9</v>
      </c>
      <c r="P17" s="8" t="s">
        <v>30</v>
      </c>
      <c r="Q17" s="8" t="s">
        <v>57</v>
      </c>
      <c r="R17" s="8" t="s">
        <v>40</v>
      </c>
      <c r="S17" s="8" t="n">
        <v>1</v>
      </c>
      <c r="T17" s="8" t="n">
        <v>1</v>
      </c>
    </row>
    <row r="18" customFormat="false" ht="15" hidden="false" customHeight="false" outlineLevel="0" collapsed="false">
      <c r="A18" s="5" t="s">
        <v>71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34</v>
      </c>
      <c r="G18" s="5" t="s">
        <v>35</v>
      </c>
      <c r="H18" s="6" t="n">
        <v>66900</v>
      </c>
      <c r="I18" s="6" t="n">
        <v>3300</v>
      </c>
      <c r="J18" s="6" t="n">
        <v>12000</v>
      </c>
      <c r="K18" s="6" t="n">
        <v>82200</v>
      </c>
      <c r="L18" s="5" t="n">
        <v>5</v>
      </c>
      <c r="M18" s="5" t="s">
        <v>72</v>
      </c>
      <c r="N18" s="5" t="n">
        <v>2024</v>
      </c>
      <c r="O18" s="7" t="n">
        <v>0.5</v>
      </c>
      <c r="P18" s="5" t="s">
        <v>30</v>
      </c>
      <c r="Q18" s="5" t="s">
        <v>48</v>
      </c>
      <c r="R18" s="5" t="s">
        <v>32</v>
      </c>
      <c r="S18" s="5" t="n">
        <v>0</v>
      </c>
      <c r="T18" s="5" t="n">
        <v>1</v>
      </c>
    </row>
    <row r="19" customFormat="false" ht="15" hidden="false" customHeight="false" outlineLevel="0" collapsed="false">
      <c r="A19" s="8" t="s">
        <v>73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G19" s="8" t="s">
        <v>28</v>
      </c>
      <c r="H19" s="9" t="n">
        <v>57000</v>
      </c>
      <c r="I19" s="9" t="n">
        <v>0</v>
      </c>
      <c r="J19" s="9" t="n">
        <v>10300</v>
      </c>
      <c r="K19" s="9" t="n">
        <v>67300</v>
      </c>
      <c r="L19" s="8" t="n">
        <v>0</v>
      </c>
      <c r="M19" s="8" t="s">
        <v>74</v>
      </c>
      <c r="N19" s="8" t="n">
        <v>2022</v>
      </c>
      <c r="O19" s="10" t="n">
        <v>2.6</v>
      </c>
      <c r="P19" s="8" t="s">
        <v>30</v>
      </c>
      <c r="Q19" s="8" t="s">
        <v>75</v>
      </c>
      <c r="R19" s="8" t="s">
        <v>40</v>
      </c>
      <c r="S19" s="8" t="n">
        <v>0</v>
      </c>
      <c r="T19" s="8" t="n">
        <v>1</v>
      </c>
    </row>
    <row r="20" customFormat="false" ht="15" hidden="false" customHeight="false" outlineLevel="0" collapsed="false">
      <c r="A20" s="5" t="s">
        <v>76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42</v>
      </c>
      <c r="G20" s="5" t="s">
        <v>43</v>
      </c>
      <c r="H20" s="6" t="n">
        <v>93300</v>
      </c>
      <c r="I20" s="6" t="n">
        <v>7500</v>
      </c>
      <c r="J20" s="6" t="n">
        <v>16800</v>
      </c>
      <c r="K20" s="6" t="n">
        <v>117600</v>
      </c>
      <c r="L20" s="5" t="n">
        <v>8</v>
      </c>
      <c r="M20" s="5" t="s">
        <v>77</v>
      </c>
      <c r="N20" s="5" t="n">
        <v>2024</v>
      </c>
      <c r="O20" s="7" t="n">
        <v>0.8</v>
      </c>
      <c r="P20" s="5" t="s">
        <v>30</v>
      </c>
      <c r="Q20" s="5" t="s">
        <v>75</v>
      </c>
      <c r="R20" s="5" t="s">
        <v>40</v>
      </c>
      <c r="S20" s="5" t="n">
        <v>1</v>
      </c>
      <c r="T20" s="5" t="n">
        <v>1</v>
      </c>
    </row>
    <row r="21" customFormat="false" ht="15" hidden="false" customHeight="false" outlineLevel="0" collapsed="false">
      <c r="A21" s="8" t="s">
        <v>78</v>
      </c>
      <c r="B21" s="8" t="s">
        <v>23</v>
      </c>
      <c r="C21" s="8" t="s">
        <v>24</v>
      </c>
      <c r="D21" s="8" t="s">
        <v>25</v>
      </c>
      <c r="E21" s="8" t="s">
        <v>26</v>
      </c>
      <c r="F21" s="8" t="s">
        <v>79</v>
      </c>
      <c r="G21" s="8" t="s">
        <v>80</v>
      </c>
      <c r="H21" s="9" t="n">
        <v>115500</v>
      </c>
      <c r="I21" s="9" t="n">
        <v>13900</v>
      </c>
      <c r="J21" s="9" t="n">
        <v>20800</v>
      </c>
      <c r="K21" s="9" t="n">
        <v>150200</v>
      </c>
      <c r="L21" s="8" t="n">
        <v>12</v>
      </c>
      <c r="M21" s="8" t="s">
        <v>81</v>
      </c>
      <c r="N21" s="8" t="n">
        <v>2023</v>
      </c>
      <c r="O21" s="10" t="n">
        <v>1.5</v>
      </c>
      <c r="P21" s="8" t="s">
        <v>82</v>
      </c>
      <c r="Q21" s="8" t="s">
        <v>48</v>
      </c>
      <c r="R21" s="8" t="s">
        <v>40</v>
      </c>
      <c r="S21" s="8" t="n">
        <v>0</v>
      </c>
      <c r="T21" s="8" t="n">
        <v>0</v>
      </c>
    </row>
    <row r="22" customFormat="false" ht="15" hidden="false" customHeight="false" outlineLevel="0" collapsed="false">
      <c r="A22" s="5" t="s">
        <v>83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79</v>
      </c>
      <c r="G22" s="5" t="s">
        <v>80</v>
      </c>
      <c r="H22" s="6" t="n">
        <v>108100</v>
      </c>
      <c r="I22" s="6" t="n">
        <v>13000</v>
      </c>
      <c r="J22" s="6" t="n">
        <v>19500</v>
      </c>
      <c r="K22" s="6" t="n">
        <v>140600</v>
      </c>
      <c r="L22" s="5" t="n">
        <v>12</v>
      </c>
      <c r="M22" s="5" t="s">
        <v>74</v>
      </c>
      <c r="N22" s="5" t="n">
        <v>2022</v>
      </c>
      <c r="O22" s="7" t="n">
        <v>2.6</v>
      </c>
      <c r="P22" s="5" t="s">
        <v>30</v>
      </c>
      <c r="Q22" s="5" t="s">
        <v>37</v>
      </c>
      <c r="R22" s="5" t="s">
        <v>32</v>
      </c>
      <c r="S22" s="5" t="n">
        <v>1</v>
      </c>
      <c r="T22" s="5" t="n">
        <v>1</v>
      </c>
    </row>
    <row r="23" customFormat="false" ht="15" hidden="false" customHeight="false" outlineLevel="0" collapsed="false">
      <c r="A23" s="8" t="s">
        <v>84</v>
      </c>
      <c r="B23" s="8" t="s">
        <v>23</v>
      </c>
      <c r="C23" s="8" t="s">
        <v>24</v>
      </c>
      <c r="D23" s="8" t="s">
        <v>25</v>
      </c>
      <c r="E23" s="8" t="s">
        <v>26</v>
      </c>
      <c r="F23" s="8" t="s">
        <v>42</v>
      </c>
      <c r="G23" s="8" t="s">
        <v>43</v>
      </c>
      <c r="H23" s="9" t="n">
        <v>94800</v>
      </c>
      <c r="I23" s="9" t="n">
        <v>7600</v>
      </c>
      <c r="J23" s="9" t="n">
        <v>17100</v>
      </c>
      <c r="K23" s="9" t="n">
        <v>119500</v>
      </c>
      <c r="L23" s="8" t="n">
        <v>8</v>
      </c>
      <c r="M23" s="8" t="s">
        <v>85</v>
      </c>
      <c r="N23" s="8" t="n">
        <v>2022</v>
      </c>
      <c r="O23" s="10" t="n">
        <v>2.5</v>
      </c>
      <c r="P23" s="8" t="s">
        <v>30</v>
      </c>
      <c r="Q23" s="8" t="s">
        <v>75</v>
      </c>
      <c r="R23" s="8" t="s">
        <v>40</v>
      </c>
      <c r="S23" s="8" t="n">
        <v>1</v>
      </c>
      <c r="T23" s="8" t="n">
        <v>1</v>
      </c>
    </row>
    <row r="24" customFormat="false" ht="15" hidden="false" customHeight="false" outlineLevel="0" collapsed="false">
      <c r="A24" s="5" t="s">
        <v>86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6" t="n">
        <v>55800</v>
      </c>
      <c r="I24" s="6" t="n">
        <v>0</v>
      </c>
      <c r="J24" s="6" t="n">
        <v>10000</v>
      </c>
      <c r="K24" s="6" t="n">
        <v>65800</v>
      </c>
      <c r="L24" s="5" t="n">
        <v>0</v>
      </c>
      <c r="M24" s="5" t="s">
        <v>87</v>
      </c>
      <c r="N24" s="5" t="n">
        <v>2024</v>
      </c>
      <c r="O24" s="7" t="n">
        <v>0.1</v>
      </c>
      <c r="P24" s="5" t="s">
        <v>54</v>
      </c>
      <c r="Q24" s="5" t="s">
        <v>48</v>
      </c>
      <c r="R24" s="5" t="s">
        <v>32</v>
      </c>
      <c r="S24" s="5" t="n">
        <v>1</v>
      </c>
      <c r="T24" s="5" t="n">
        <v>1</v>
      </c>
    </row>
    <row r="25" customFormat="false" ht="15" hidden="false" customHeight="false" outlineLevel="0" collapsed="false">
      <c r="A25" s="8" t="s">
        <v>88</v>
      </c>
      <c r="B25" s="8" t="s">
        <v>23</v>
      </c>
      <c r="C25" s="8" t="s">
        <v>24</v>
      </c>
      <c r="D25" s="8" t="s">
        <v>25</v>
      </c>
      <c r="E25" s="8" t="s">
        <v>26</v>
      </c>
      <c r="F25" s="8" t="s">
        <v>27</v>
      </c>
      <c r="G25" s="8" t="s">
        <v>28</v>
      </c>
      <c r="H25" s="9" t="n">
        <v>56600</v>
      </c>
      <c r="I25" s="9" t="n">
        <v>0</v>
      </c>
      <c r="J25" s="9" t="n">
        <v>10200</v>
      </c>
      <c r="K25" s="9" t="n">
        <v>66800</v>
      </c>
      <c r="L25" s="8" t="n">
        <v>0</v>
      </c>
      <c r="M25" s="8" t="s">
        <v>89</v>
      </c>
      <c r="N25" s="8" t="n">
        <v>2023</v>
      </c>
      <c r="O25" s="10" t="n">
        <v>1.3</v>
      </c>
      <c r="P25" s="8" t="s">
        <v>82</v>
      </c>
      <c r="Q25" s="8" t="s">
        <v>45</v>
      </c>
      <c r="R25" s="8" t="s">
        <v>32</v>
      </c>
      <c r="S25" s="8" t="n">
        <v>1</v>
      </c>
      <c r="T25" s="8" t="n">
        <v>0</v>
      </c>
    </row>
    <row r="26" customFormat="false" ht="15" hidden="false" customHeight="false" outlineLevel="0" collapsed="false">
      <c r="A26" s="5" t="s">
        <v>90</v>
      </c>
      <c r="B26" s="5" t="s">
        <v>23</v>
      </c>
      <c r="C26" s="5" t="s">
        <v>24</v>
      </c>
      <c r="D26" s="5" t="s">
        <v>25</v>
      </c>
      <c r="E26" s="5" t="s">
        <v>26</v>
      </c>
      <c r="F26" s="5" t="s">
        <v>42</v>
      </c>
      <c r="G26" s="5" t="s">
        <v>43</v>
      </c>
      <c r="H26" s="6" t="n">
        <v>87200</v>
      </c>
      <c r="I26" s="6" t="n">
        <v>7000</v>
      </c>
      <c r="J26" s="6" t="n">
        <v>15700</v>
      </c>
      <c r="K26" s="6" t="n">
        <v>109900</v>
      </c>
      <c r="L26" s="5" t="n">
        <v>8</v>
      </c>
      <c r="M26" s="5" t="s">
        <v>91</v>
      </c>
      <c r="N26" s="5" t="n">
        <v>2023</v>
      </c>
      <c r="O26" s="7" t="n">
        <v>1.6</v>
      </c>
      <c r="P26" s="5" t="s">
        <v>30</v>
      </c>
      <c r="Q26" s="5" t="s">
        <v>48</v>
      </c>
      <c r="R26" s="5" t="s">
        <v>49</v>
      </c>
      <c r="S26" s="5" t="n">
        <v>1</v>
      </c>
      <c r="T26" s="5" t="n">
        <v>1</v>
      </c>
    </row>
    <row r="27" customFormat="false" ht="15" hidden="false" customHeight="false" outlineLevel="0" collapsed="false">
      <c r="A27" s="8" t="s">
        <v>92</v>
      </c>
      <c r="B27" s="8" t="s">
        <v>23</v>
      </c>
      <c r="C27" s="8" t="s">
        <v>24</v>
      </c>
      <c r="D27" s="8" t="s">
        <v>25</v>
      </c>
      <c r="E27" s="8" t="s">
        <v>26</v>
      </c>
      <c r="F27" s="8" t="s">
        <v>93</v>
      </c>
      <c r="G27" s="8" t="s">
        <v>94</v>
      </c>
      <c r="H27" s="9" t="n">
        <v>132800</v>
      </c>
      <c r="I27" s="9" t="n">
        <v>19900</v>
      </c>
      <c r="J27" s="9" t="n">
        <v>23900</v>
      </c>
      <c r="K27" s="9" t="n">
        <v>176600</v>
      </c>
      <c r="L27" s="8" t="n">
        <v>15</v>
      </c>
      <c r="M27" s="8" t="s">
        <v>95</v>
      </c>
      <c r="N27" s="8" t="n">
        <v>2019</v>
      </c>
      <c r="O27" s="10" t="n">
        <v>5.3</v>
      </c>
      <c r="P27" s="8" t="s">
        <v>30</v>
      </c>
      <c r="Q27" s="8" t="s">
        <v>45</v>
      </c>
      <c r="R27" s="8" t="s">
        <v>49</v>
      </c>
      <c r="S27" s="8" t="n">
        <v>1</v>
      </c>
      <c r="T27" s="8" t="n">
        <v>1</v>
      </c>
    </row>
    <row r="28" customFormat="false" ht="15" hidden="false" customHeight="false" outlineLevel="0" collapsed="false">
      <c r="A28" s="5" t="s">
        <v>96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97</v>
      </c>
      <c r="G28" s="5" t="s">
        <v>98</v>
      </c>
      <c r="H28" s="6" t="n">
        <v>271200</v>
      </c>
      <c r="I28" s="6" t="n">
        <v>67800</v>
      </c>
      <c r="J28" s="6" t="n">
        <v>48800</v>
      </c>
      <c r="K28" s="6" t="n">
        <v>387800</v>
      </c>
      <c r="L28" s="5" t="n">
        <v>25</v>
      </c>
      <c r="M28" s="5" t="s">
        <v>99</v>
      </c>
      <c r="N28" s="5" t="n">
        <v>2020</v>
      </c>
      <c r="O28" s="7" t="n">
        <v>4.7</v>
      </c>
      <c r="P28" s="5" t="s">
        <v>30</v>
      </c>
      <c r="Q28" s="5" t="s">
        <v>31</v>
      </c>
      <c r="R28" s="5" t="s">
        <v>49</v>
      </c>
      <c r="S28" s="5" t="n">
        <v>1</v>
      </c>
      <c r="T28" s="5" t="n">
        <v>1</v>
      </c>
    </row>
    <row r="29" customFormat="false" ht="15" hidden="false" customHeight="false" outlineLevel="0" collapsed="false">
      <c r="A29" s="8" t="s">
        <v>100</v>
      </c>
      <c r="B29" s="8" t="s">
        <v>23</v>
      </c>
      <c r="C29" s="8" t="s">
        <v>24</v>
      </c>
      <c r="D29" s="8" t="s">
        <v>25</v>
      </c>
      <c r="E29" s="8" t="s">
        <v>26</v>
      </c>
      <c r="F29" s="8" t="s">
        <v>34</v>
      </c>
      <c r="G29" s="8" t="s">
        <v>35</v>
      </c>
      <c r="H29" s="9" t="n">
        <v>66800</v>
      </c>
      <c r="I29" s="9" t="n">
        <v>3300</v>
      </c>
      <c r="J29" s="9" t="n">
        <v>12000</v>
      </c>
      <c r="K29" s="9" t="n">
        <v>82100</v>
      </c>
      <c r="L29" s="8" t="n">
        <v>5</v>
      </c>
      <c r="M29" s="8" t="s">
        <v>101</v>
      </c>
      <c r="N29" s="8" t="n">
        <v>2023</v>
      </c>
      <c r="O29" s="10" t="n">
        <v>1.8</v>
      </c>
      <c r="P29" s="8" t="s">
        <v>54</v>
      </c>
      <c r="Q29" s="8" t="s">
        <v>57</v>
      </c>
      <c r="R29" s="8" t="s">
        <v>32</v>
      </c>
      <c r="S29" s="8" t="n">
        <v>1</v>
      </c>
      <c r="T29" s="8" t="n">
        <v>1</v>
      </c>
    </row>
    <row r="30" customFormat="false" ht="15" hidden="false" customHeight="false" outlineLevel="0" collapsed="false">
      <c r="A30" s="5" t="s">
        <v>102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34</v>
      </c>
      <c r="G30" s="5" t="s">
        <v>35</v>
      </c>
      <c r="H30" s="6" t="n">
        <v>70600</v>
      </c>
      <c r="I30" s="6" t="n">
        <v>3500</v>
      </c>
      <c r="J30" s="6" t="n">
        <v>12700</v>
      </c>
      <c r="K30" s="6" t="n">
        <v>86800</v>
      </c>
      <c r="L30" s="5" t="n">
        <v>5</v>
      </c>
      <c r="M30" s="5" t="s">
        <v>66</v>
      </c>
      <c r="N30" s="5" t="n">
        <v>2023</v>
      </c>
      <c r="O30" s="7" t="n">
        <v>1.4</v>
      </c>
      <c r="P30" s="5" t="s">
        <v>30</v>
      </c>
      <c r="Q30" s="5" t="s">
        <v>57</v>
      </c>
      <c r="R30" s="5" t="s">
        <v>40</v>
      </c>
      <c r="S30" s="5" t="n">
        <v>1</v>
      </c>
      <c r="T30" s="5" t="n">
        <v>1</v>
      </c>
    </row>
    <row r="31" customFormat="false" ht="15" hidden="false" customHeight="false" outlineLevel="0" collapsed="false">
      <c r="A31" s="8" t="s">
        <v>103</v>
      </c>
      <c r="B31" s="8" t="s">
        <v>23</v>
      </c>
      <c r="C31" s="8" t="s">
        <v>24</v>
      </c>
      <c r="D31" s="8" t="s">
        <v>25</v>
      </c>
      <c r="E31" s="8" t="s">
        <v>26</v>
      </c>
      <c r="F31" s="8" t="s">
        <v>93</v>
      </c>
      <c r="G31" s="8" t="s">
        <v>94</v>
      </c>
      <c r="H31" s="9" t="n">
        <v>142200</v>
      </c>
      <c r="I31" s="9" t="n">
        <v>21300</v>
      </c>
      <c r="J31" s="9" t="n">
        <v>25600</v>
      </c>
      <c r="K31" s="9" t="n">
        <v>189100</v>
      </c>
      <c r="L31" s="8" t="n">
        <v>15</v>
      </c>
      <c r="M31" s="8" t="s">
        <v>39</v>
      </c>
      <c r="N31" s="8" t="n">
        <v>2019</v>
      </c>
      <c r="O31" s="10" t="n">
        <v>5.3</v>
      </c>
      <c r="P31" s="8" t="s">
        <v>54</v>
      </c>
      <c r="Q31" s="8" t="s">
        <v>48</v>
      </c>
      <c r="R31" s="8" t="s">
        <v>49</v>
      </c>
      <c r="S31" s="8" t="n">
        <v>1</v>
      </c>
      <c r="T31" s="8" t="n">
        <v>1</v>
      </c>
    </row>
    <row r="32" customFormat="false" ht="15" hidden="false" customHeight="false" outlineLevel="0" collapsed="false">
      <c r="A32" s="5" t="s">
        <v>104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27</v>
      </c>
      <c r="G32" s="5" t="s">
        <v>28</v>
      </c>
      <c r="H32" s="6" t="n">
        <v>60400</v>
      </c>
      <c r="I32" s="6" t="n">
        <v>0</v>
      </c>
      <c r="J32" s="6" t="n">
        <v>10900</v>
      </c>
      <c r="K32" s="6" t="n">
        <v>71300</v>
      </c>
      <c r="L32" s="5" t="n">
        <v>0</v>
      </c>
      <c r="M32" s="5" t="s">
        <v>68</v>
      </c>
      <c r="N32" s="5" t="n">
        <v>2021</v>
      </c>
      <c r="O32" s="7" t="n">
        <v>3.2</v>
      </c>
      <c r="P32" s="5" t="s">
        <v>30</v>
      </c>
      <c r="Q32" s="5" t="s">
        <v>48</v>
      </c>
      <c r="R32" s="5" t="s">
        <v>32</v>
      </c>
      <c r="S32" s="5" t="n">
        <v>1</v>
      </c>
      <c r="T32" s="5" t="n">
        <v>1</v>
      </c>
    </row>
    <row r="33" customFormat="false" ht="15" hidden="false" customHeight="false" outlineLevel="0" collapsed="false">
      <c r="A33" s="8" t="s">
        <v>105</v>
      </c>
      <c r="B33" s="8" t="s">
        <v>23</v>
      </c>
      <c r="C33" s="8" t="s">
        <v>24</v>
      </c>
      <c r="D33" s="8" t="s">
        <v>25</v>
      </c>
      <c r="E33" s="8" t="s">
        <v>26</v>
      </c>
      <c r="F33" s="8" t="s">
        <v>42</v>
      </c>
      <c r="G33" s="8" t="s">
        <v>43</v>
      </c>
      <c r="H33" s="9" t="n">
        <v>95000</v>
      </c>
      <c r="I33" s="9" t="n">
        <v>7600</v>
      </c>
      <c r="J33" s="9" t="n">
        <v>17100</v>
      </c>
      <c r="K33" s="9" t="n">
        <v>119700</v>
      </c>
      <c r="L33" s="8" t="n">
        <v>8</v>
      </c>
      <c r="M33" s="8" t="s">
        <v>36</v>
      </c>
      <c r="N33" s="8" t="n">
        <v>2020</v>
      </c>
      <c r="O33" s="10" t="n">
        <v>4.8</v>
      </c>
      <c r="P33" s="8" t="s">
        <v>30</v>
      </c>
      <c r="Q33" s="8" t="s">
        <v>31</v>
      </c>
      <c r="R33" s="8" t="s">
        <v>32</v>
      </c>
      <c r="S33" s="8" t="n">
        <v>1</v>
      </c>
      <c r="T33" s="8" t="n">
        <v>1</v>
      </c>
    </row>
    <row r="34" customFormat="false" ht="15" hidden="false" customHeight="false" outlineLevel="0" collapsed="false">
      <c r="A34" s="5" t="s">
        <v>106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34</v>
      </c>
      <c r="G34" s="5" t="s">
        <v>35</v>
      </c>
      <c r="H34" s="6" t="n">
        <v>71800</v>
      </c>
      <c r="I34" s="6" t="n">
        <v>3600</v>
      </c>
      <c r="J34" s="6" t="n">
        <v>12900</v>
      </c>
      <c r="K34" s="6" t="n">
        <v>88300</v>
      </c>
      <c r="L34" s="5" t="n">
        <v>5</v>
      </c>
      <c r="M34" s="5" t="s">
        <v>81</v>
      </c>
      <c r="N34" s="5" t="n">
        <v>2023</v>
      </c>
      <c r="O34" s="7" t="n">
        <v>1.5</v>
      </c>
      <c r="P34" s="5" t="s">
        <v>30</v>
      </c>
      <c r="Q34" s="5" t="s">
        <v>31</v>
      </c>
      <c r="R34" s="5" t="s">
        <v>32</v>
      </c>
      <c r="S34" s="5" t="n">
        <v>1</v>
      </c>
      <c r="T34" s="5" t="n">
        <v>1</v>
      </c>
    </row>
    <row r="35" customFormat="false" ht="15" hidden="false" customHeight="false" outlineLevel="0" collapsed="false">
      <c r="A35" s="8" t="s">
        <v>107</v>
      </c>
      <c r="B35" s="8" t="s">
        <v>23</v>
      </c>
      <c r="C35" s="8" t="s">
        <v>24</v>
      </c>
      <c r="D35" s="8" t="s">
        <v>25</v>
      </c>
      <c r="E35" s="8" t="s">
        <v>26</v>
      </c>
      <c r="F35" s="8" t="s">
        <v>34</v>
      </c>
      <c r="G35" s="8" t="s">
        <v>35</v>
      </c>
      <c r="H35" s="9" t="n">
        <v>70500</v>
      </c>
      <c r="I35" s="9" t="n">
        <v>3500</v>
      </c>
      <c r="J35" s="9" t="n">
        <v>12700</v>
      </c>
      <c r="K35" s="9" t="n">
        <v>86700</v>
      </c>
      <c r="L35" s="8" t="n">
        <v>5</v>
      </c>
      <c r="M35" s="8" t="s">
        <v>108</v>
      </c>
      <c r="N35" s="8" t="n">
        <v>2021</v>
      </c>
      <c r="O35" s="10" t="n">
        <v>4</v>
      </c>
      <c r="P35" s="8" t="s">
        <v>30</v>
      </c>
      <c r="Q35" s="8" t="s">
        <v>31</v>
      </c>
      <c r="R35" s="8" t="s">
        <v>49</v>
      </c>
      <c r="S35" s="8" t="n">
        <v>1</v>
      </c>
      <c r="T35" s="8" t="n">
        <v>1</v>
      </c>
    </row>
    <row r="36" customFormat="false" ht="15" hidden="false" customHeight="false" outlineLevel="0" collapsed="false">
      <c r="A36" s="5" t="s">
        <v>109</v>
      </c>
      <c r="B36" s="5" t="s">
        <v>23</v>
      </c>
      <c r="C36" s="5" t="s">
        <v>24</v>
      </c>
      <c r="D36" s="5" t="s">
        <v>25</v>
      </c>
      <c r="E36" s="5" t="s">
        <v>26</v>
      </c>
      <c r="F36" s="5" t="s">
        <v>34</v>
      </c>
      <c r="G36" s="5" t="s">
        <v>35</v>
      </c>
      <c r="H36" s="6" t="n">
        <v>67300</v>
      </c>
      <c r="I36" s="6" t="n">
        <v>3400</v>
      </c>
      <c r="J36" s="6" t="n">
        <v>12100</v>
      </c>
      <c r="K36" s="6" t="n">
        <v>82800</v>
      </c>
      <c r="L36" s="5" t="n">
        <v>5</v>
      </c>
      <c r="M36" s="5" t="s">
        <v>61</v>
      </c>
      <c r="N36" s="5" t="n">
        <v>2024</v>
      </c>
      <c r="O36" s="7" t="n">
        <v>0.6</v>
      </c>
      <c r="P36" s="5" t="s">
        <v>30</v>
      </c>
      <c r="Q36" s="5" t="s">
        <v>75</v>
      </c>
      <c r="R36" s="5" t="s">
        <v>32</v>
      </c>
      <c r="S36" s="5" t="n">
        <v>1</v>
      </c>
      <c r="T36" s="5" t="n">
        <v>1</v>
      </c>
    </row>
    <row r="37" customFormat="false" ht="15" hidden="false" customHeight="false" outlineLevel="0" collapsed="false">
      <c r="A37" s="8" t="s">
        <v>110</v>
      </c>
      <c r="B37" s="8" t="s">
        <v>23</v>
      </c>
      <c r="C37" s="8" t="s">
        <v>24</v>
      </c>
      <c r="D37" s="8" t="s">
        <v>25</v>
      </c>
      <c r="E37" s="8" t="s">
        <v>26</v>
      </c>
      <c r="F37" s="8" t="s">
        <v>42</v>
      </c>
      <c r="G37" s="8" t="s">
        <v>43</v>
      </c>
      <c r="H37" s="9" t="n">
        <v>90800</v>
      </c>
      <c r="I37" s="9" t="n">
        <v>7300</v>
      </c>
      <c r="J37" s="9" t="n">
        <v>16300</v>
      </c>
      <c r="K37" s="9" t="n">
        <v>114400</v>
      </c>
      <c r="L37" s="8" t="n">
        <v>8</v>
      </c>
      <c r="M37" s="8" t="s">
        <v>56</v>
      </c>
      <c r="N37" s="8" t="n">
        <v>2020</v>
      </c>
      <c r="O37" s="10" t="n">
        <v>4.1</v>
      </c>
      <c r="P37" s="8" t="s">
        <v>54</v>
      </c>
      <c r="Q37" s="8" t="s">
        <v>37</v>
      </c>
      <c r="R37" s="8" t="s">
        <v>49</v>
      </c>
      <c r="S37" s="8" t="n">
        <v>0</v>
      </c>
      <c r="T37" s="8" t="n">
        <v>1</v>
      </c>
    </row>
    <row r="38" customFormat="false" ht="15" hidden="false" customHeight="false" outlineLevel="0" collapsed="false">
      <c r="A38" s="5" t="s">
        <v>111</v>
      </c>
      <c r="B38" s="5" t="s">
        <v>23</v>
      </c>
      <c r="C38" s="5" t="s">
        <v>24</v>
      </c>
      <c r="D38" s="5" t="s">
        <v>25</v>
      </c>
      <c r="E38" s="5" t="s">
        <v>26</v>
      </c>
      <c r="F38" s="5" t="s">
        <v>34</v>
      </c>
      <c r="G38" s="5" t="s">
        <v>35</v>
      </c>
      <c r="H38" s="6" t="n">
        <v>72200</v>
      </c>
      <c r="I38" s="6" t="n">
        <v>3600</v>
      </c>
      <c r="J38" s="6" t="n">
        <v>13000</v>
      </c>
      <c r="K38" s="6" t="n">
        <v>88800</v>
      </c>
      <c r="L38" s="5" t="n">
        <v>5</v>
      </c>
      <c r="M38" s="5" t="s">
        <v>112</v>
      </c>
      <c r="N38" s="5" t="n">
        <v>2020</v>
      </c>
      <c r="O38" s="7" t="n">
        <v>4.9</v>
      </c>
      <c r="P38" s="5" t="s">
        <v>30</v>
      </c>
      <c r="Q38" s="5" t="s">
        <v>57</v>
      </c>
      <c r="R38" s="5" t="s">
        <v>32</v>
      </c>
      <c r="S38" s="5" t="n">
        <v>1</v>
      </c>
      <c r="T38" s="5" t="n">
        <v>1</v>
      </c>
    </row>
    <row r="39" customFormat="false" ht="15" hidden="false" customHeight="false" outlineLevel="0" collapsed="false">
      <c r="A39" s="8" t="s">
        <v>113</v>
      </c>
      <c r="B39" s="8" t="s">
        <v>23</v>
      </c>
      <c r="C39" s="8" t="s">
        <v>24</v>
      </c>
      <c r="D39" s="8" t="s">
        <v>25</v>
      </c>
      <c r="E39" s="8" t="s">
        <v>26</v>
      </c>
      <c r="F39" s="8" t="s">
        <v>42</v>
      </c>
      <c r="G39" s="8" t="s">
        <v>43</v>
      </c>
      <c r="H39" s="9" t="n">
        <v>81500</v>
      </c>
      <c r="I39" s="9" t="n">
        <v>6500</v>
      </c>
      <c r="J39" s="9" t="n">
        <v>14700</v>
      </c>
      <c r="K39" s="9" t="n">
        <v>102700</v>
      </c>
      <c r="L39" s="8" t="n">
        <v>8</v>
      </c>
      <c r="M39" s="8" t="s">
        <v>101</v>
      </c>
      <c r="N39" s="8" t="n">
        <v>2023</v>
      </c>
      <c r="O39" s="10" t="n">
        <v>1.8</v>
      </c>
      <c r="P39" s="8" t="s">
        <v>30</v>
      </c>
      <c r="Q39" s="8" t="s">
        <v>48</v>
      </c>
      <c r="R39" s="8" t="s">
        <v>40</v>
      </c>
      <c r="S39" s="8" t="n">
        <v>1</v>
      </c>
      <c r="T39" s="8" t="n">
        <v>1</v>
      </c>
    </row>
    <row r="40" customFormat="false" ht="15" hidden="false" customHeight="false" outlineLevel="0" collapsed="false">
      <c r="A40" s="5" t="s">
        <v>114</v>
      </c>
      <c r="B40" s="5" t="s">
        <v>23</v>
      </c>
      <c r="C40" s="5" t="s">
        <v>24</v>
      </c>
      <c r="D40" s="5" t="s">
        <v>25</v>
      </c>
      <c r="E40" s="5" t="s">
        <v>26</v>
      </c>
      <c r="F40" s="5" t="s">
        <v>27</v>
      </c>
      <c r="G40" s="5" t="s">
        <v>28</v>
      </c>
      <c r="H40" s="6" t="n">
        <v>56400</v>
      </c>
      <c r="I40" s="6" t="n">
        <v>0</v>
      </c>
      <c r="J40" s="6" t="n">
        <v>10200</v>
      </c>
      <c r="K40" s="6" t="n">
        <v>66600</v>
      </c>
      <c r="L40" s="5" t="n">
        <v>0</v>
      </c>
      <c r="M40" s="5" t="s">
        <v>115</v>
      </c>
      <c r="N40" s="5" t="n">
        <v>2023</v>
      </c>
      <c r="O40" s="7" t="n">
        <v>1.7</v>
      </c>
      <c r="P40" s="5" t="s">
        <v>30</v>
      </c>
      <c r="Q40" s="5" t="s">
        <v>48</v>
      </c>
      <c r="R40" s="5" t="s">
        <v>32</v>
      </c>
      <c r="S40" s="5" t="n">
        <v>1</v>
      </c>
      <c r="T40" s="5" t="n">
        <v>1</v>
      </c>
    </row>
    <row r="41" customFormat="false" ht="15" hidden="false" customHeight="false" outlineLevel="0" collapsed="false">
      <c r="A41" s="8" t="s">
        <v>116</v>
      </c>
      <c r="B41" s="8" t="s">
        <v>23</v>
      </c>
      <c r="C41" s="8" t="s">
        <v>24</v>
      </c>
      <c r="D41" s="8" t="s">
        <v>25</v>
      </c>
      <c r="E41" s="8" t="s">
        <v>26</v>
      </c>
      <c r="F41" s="8" t="s">
        <v>93</v>
      </c>
      <c r="G41" s="8" t="s">
        <v>94</v>
      </c>
      <c r="H41" s="9" t="n">
        <v>149400</v>
      </c>
      <c r="I41" s="9" t="n">
        <v>22400</v>
      </c>
      <c r="J41" s="9" t="n">
        <v>26900</v>
      </c>
      <c r="K41" s="9" t="n">
        <v>198700</v>
      </c>
      <c r="L41" s="8" t="n">
        <v>15</v>
      </c>
      <c r="M41" s="8" t="s">
        <v>117</v>
      </c>
      <c r="N41" s="8" t="n">
        <v>2021</v>
      </c>
      <c r="O41" s="10" t="n">
        <v>3.8</v>
      </c>
      <c r="P41" s="8" t="s">
        <v>30</v>
      </c>
      <c r="Q41" s="8" t="s">
        <v>48</v>
      </c>
      <c r="R41" s="8" t="s">
        <v>32</v>
      </c>
      <c r="S41" s="8" t="n">
        <v>1</v>
      </c>
      <c r="T41" s="8" t="n">
        <v>1</v>
      </c>
    </row>
    <row r="42" customFormat="false" ht="15" hidden="false" customHeight="false" outlineLevel="0" collapsed="false">
      <c r="A42" s="5" t="s">
        <v>118</v>
      </c>
      <c r="B42" s="5" t="s">
        <v>23</v>
      </c>
      <c r="C42" s="5" t="s">
        <v>24</v>
      </c>
      <c r="D42" s="5" t="s">
        <v>25</v>
      </c>
      <c r="E42" s="5" t="s">
        <v>26</v>
      </c>
      <c r="F42" s="5" t="s">
        <v>27</v>
      </c>
      <c r="G42" s="5" t="s">
        <v>28</v>
      </c>
      <c r="H42" s="6" t="n">
        <v>58300</v>
      </c>
      <c r="I42" s="6" t="n">
        <v>0</v>
      </c>
      <c r="J42" s="6" t="n">
        <v>10500</v>
      </c>
      <c r="K42" s="6" t="n">
        <v>68800</v>
      </c>
      <c r="L42" s="5" t="n">
        <v>0</v>
      </c>
      <c r="M42" s="5" t="s">
        <v>119</v>
      </c>
      <c r="N42" s="5" t="n">
        <v>2020</v>
      </c>
      <c r="O42" s="7" t="n">
        <v>5</v>
      </c>
      <c r="P42" s="5" t="s">
        <v>30</v>
      </c>
      <c r="Q42" s="5" t="s">
        <v>37</v>
      </c>
      <c r="R42" s="5" t="s">
        <v>40</v>
      </c>
      <c r="S42" s="5" t="n">
        <v>1</v>
      </c>
      <c r="T42" s="5" t="n">
        <v>1</v>
      </c>
    </row>
    <row r="43" customFormat="false" ht="15" hidden="false" customHeight="false" outlineLevel="0" collapsed="false">
      <c r="A43" s="8" t="s">
        <v>120</v>
      </c>
      <c r="B43" s="8" t="s">
        <v>23</v>
      </c>
      <c r="C43" s="8" t="s">
        <v>24</v>
      </c>
      <c r="D43" s="8" t="s">
        <v>25</v>
      </c>
      <c r="E43" s="8" t="s">
        <v>26</v>
      </c>
      <c r="F43" s="8" t="s">
        <v>93</v>
      </c>
      <c r="G43" s="8" t="s">
        <v>94</v>
      </c>
      <c r="H43" s="9" t="n">
        <v>148500</v>
      </c>
      <c r="I43" s="9" t="n">
        <v>22300</v>
      </c>
      <c r="J43" s="9" t="n">
        <v>26700</v>
      </c>
      <c r="K43" s="9" t="n">
        <v>197500</v>
      </c>
      <c r="L43" s="8" t="n">
        <v>15</v>
      </c>
      <c r="M43" s="8" t="s">
        <v>121</v>
      </c>
      <c r="N43" s="8" t="n">
        <v>2021</v>
      </c>
      <c r="O43" s="10" t="n">
        <v>3.4</v>
      </c>
      <c r="P43" s="8" t="s">
        <v>54</v>
      </c>
      <c r="Q43" s="8" t="s">
        <v>45</v>
      </c>
      <c r="R43" s="8" t="s">
        <v>32</v>
      </c>
      <c r="S43" s="8" t="n">
        <v>1</v>
      </c>
      <c r="T43" s="8" t="n">
        <v>1</v>
      </c>
    </row>
    <row r="44" customFormat="false" ht="15" hidden="false" customHeight="false" outlineLevel="0" collapsed="false">
      <c r="A44" s="5" t="s">
        <v>122</v>
      </c>
      <c r="B44" s="5" t="s">
        <v>23</v>
      </c>
      <c r="C44" s="5" t="s">
        <v>24</v>
      </c>
      <c r="D44" s="5" t="s">
        <v>25</v>
      </c>
      <c r="E44" s="5" t="s">
        <v>26</v>
      </c>
      <c r="F44" s="5" t="s">
        <v>34</v>
      </c>
      <c r="G44" s="5" t="s">
        <v>35</v>
      </c>
      <c r="H44" s="6" t="n">
        <v>67800</v>
      </c>
      <c r="I44" s="6" t="n">
        <v>3400</v>
      </c>
      <c r="J44" s="6" t="n">
        <v>12200</v>
      </c>
      <c r="K44" s="6" t="n">
        <v>83400</v>
      </c>
      <c r="L44" s="5" t="n">
        <v>5</v>
      </c>
      <c r="M44" s="5" t="s">
        <v>115</v>
      </c>
      <c r="N44" s="5" t="n">
        <v>2023</v>
      </c>
      <c r="O44" s="7" t="n">
        <v>1.7</v>
      </c>
      <c r="P44" s="5" t="s">
        <v>30</v>
      </c>
      <c r="Q44" s="5" t="s">
        <v>37</v>
      </c>
      <c r="R44" s="5" t="s">
        <v>40</v>
      </c>
      <c r="S44" s="5" t="n">
        <v>1</v>
      </c>
      <c r="T44" s="5" t="n">
        <v>1</v>
      </c>
    </row>
    <row r="45" customFormat="false" ht="15" hidden="false" customHeight="false" outlineLevel="0" collapsed="false">
      <c r="A45" s="8" t="s">
        <v>123</v>
      </c>
      <c r="B45" s="8" t="s">
        <v>23</v>
      </c>
      <c r="C45" s="8" t="s">
        <v>24</v>
      </c>
      <c r="D45" s="8" t="s">
        <v>25</v>
      </c>
      <c r="E45" s="8" t="s">
        <v>26</v>
      </c>
      <c r="F45" s="8" t="s">
        <v>34</v>
      </c>
      <c r="G45" s="8" t="s">
        <v>35</v>
      </c>
      <c r="H45" s="9" t="n">
        <v>70200</v>
      </c>
      <c r="I45" s="9" t="n">
        <v>3500</v>
      </c>
      <c r="J45" s="9" t="n">
        <v>12600</v>
      </c>
      <c r="K45" s="9" t="n">
        <v>86300</v>
      </c>
      <c r="L45" s="8" t="n">
        <v>5</v>
      </c>
      <c r="M45" s="8" t="s">
        <v>124</v>
      </c>
      <c r="N45" s="8" t="n">
        <v>2022</v>
      </c>
      <c r="O45" s="10" t="n">
        <v>2.9</v>
      </c>
      <c r="P45" s="8" t="s">
        <v>30</v>
      </c>
      <c r="Q45" s="8" t="s">
        <v>37</v>
      </c>
      <c r="R45" s="8" t="s">
        <v>32</v>
      </c>
      <c r="S45" s="8" t="n">
        <v>1</v>
      </c>
      <c r="T45" s="8" t="n">
        <v>1</v>
      </c>
    </row>
    <row r="46" customFormat="false" ht="15" hidden="false" customHeight="false" outlineLevel="0" collapsed="false">
      <c r="A46" s="5" t="s">
        <v>125</v>
      </c>
      <c r="B46" s="5" t="s">
        <v>23</v>
      </c>
      <c r="C46" s="5" t="s">
        <v>24</v>
      </c>
      <c r="D46" s="5" t="s">
        <v>25</v>
      </c>
      <c r="E46" s="5" t="s">
        <v>26</v>
      </c>
      <c r="F46" s="5" t="s">
        <v>42</v>
      </c>
      <c r="G46" s="5" t="s">
        <v>43</v>
      </c>
      <c r="H46" s="6" t="n">
        <v>87000</v>
      </c>
      <c r="I46" s="6" t="n">
        <v>7000</v>
      </c>
      <c r="J46" s="6" t="n">
        <v>15700</v>
      </c>
      <c r="K46" s="6" t="n">
        <v>109700</v>
      </c>
      <c r="L46" s="5" t="n">
        <v>8</v>
      </c>
      <c r="M46" s="5" t="s">
        <v>126</v>
      </c>
      <c r="N46" s="5" t="n">
        <v>2022</v>
      </c>
      <c r="O46" s="7" t="n">
        <v>2.8</v>
      </c>
      <c r="P46" s="5" t="s">
        <v>30</v>
      </c>
      <c r="Q46" s="5" t="s">
        <v>45</v>
      </c>
      <c r="R46" s="5" t="s">
        <v>40</v>
      </c>
      <c r="S46" s="5" t="n">
        <v>0</v>
      </c>
      <c r="T46" s="5" t="n">
        <v>1</v>
      </c>
    </row>
    <row r="47" customFormat="false" ht="15" hidden="false" customHeight="false" outlineLevel="0" collapsed="false">
      <c r="A47" s="8" t="s">
        <v>127</v>
      </c>
      <c r="B47" s="8" t="s">
        <v>23</v>
      </c>
      <c r="C47" s="8" t="s">
        <v>24</v>
      </c>
      <c r="D47" s="8" t="s">
        <v>25</v>
      </c>
      <c r="E47" s="8" t="s">
        <v>26</v>
      </c>
      <c r="F47" s="8" t="s">
        <v>34</v>
      </c>
      <c r="G47" s="8" t="s">
        <v>35</v>
      </c>
      <c r="H47" s="9" t="n">
        <v>62500</v>
      </c>
      <c r="I47" s="9" t="n">
        <v>3100</v>
      </c>
      <c r="J47" s="9" t="n">
        <v>11200</v>
      </c>
      <c r="K47" s="9" t="n">
        <v>76800</v>
      </c>
      <c r="L47" s="8" t="n">
        <v>5</v>
      </c>
      <c r="M47" s="8" t="s">
        <v>47</v>
      </c>
      <c r="N47" s="8" t="n">
        <v>2022</v>
      </c>
      <c r="O47" s="10" t="n">
        <v>3</v>
      </c>
      <c r="P47" s="8" t="s">
        <v>30</v>
      </c>
      <c r="Q47" s="8" t="s">
        <v>57</v>
      </c>
      <c r="R47" s="8" t="s">
        <v>32</v>
      </c>
      <c r="S47" s="8" t="n">
        <v>1</v>
      </c>
      <c r="T47" s="8" t="n">
        <v>1</v>
      </c>
    </row>
    <row r="48" customFormat="false" ht="15" hidden="false" customHeight="false" outlineLevel="0" collapsed="false">
      <c r="A48" s="5" t="s">
        <v>128</v>
      </c>
      <c r="B48" s="5" t="s">
        <v>23</v>
      </c>
      <c r="C48" s="5" t="s">
        <v>24</v>
      </c>
      <c r="D48" s="5" t="s">
        <v>25</v>
      </c>
      <c r="E48" s="5" t="s">
        <v>26</v>
      </c>
      <c r="F48" s="5" t="s">
        <v>27</v>
      </c>
      <c r="G48" s="5" t="s">
        <v>28</v>
      </c>
      <c r="H48" s="6" t="n">
        <v>61200</v>
      </c>
      <c r="I48" s="6" t="n">
        <v>0</v>
      </c>
      <c r="J48" s="6" t="n">
        <v>11000</v>
      </c>
      <c r="K48" s="6" t="n">
        <v>72200</v>
      </c>
      <c r="L48" s="5" t="n">
        <v>0</v>
      </c>
      <c r="M48" s="5" t="s">
        <v>72</v>
      </c>
      <c r="N48" s="5" t="n">
        <v>2024</v>
      </c>
      <c r="O48" s="7" t="n">
        <v>0.5</v>
      </c>
      <c r="P48" s="5" t="s">
        <v>30</v>
      </c>
      <c r="Q48" s="5" t="s">
        <v>45</v>
      </c>
      <c r="R48" s="5" t="s">
        <v>32</v>
      </c>
      <c r="S48" s="5" t="n">
        <v>1</v>
      </c>
      <c r="T48" s="5" t="n">
        <v>1</v>
      </c>
    </row>
    <row r="49" customFormat="false" ht="15" hidden="false" customHeight="false" outlineLevel="0" collapsed="false">
      <c r="A49" s="8" t="s">
        <v>129</v>
      </c>
      <c r="B49" s="8" t="s">
        <v>130</v>
      </c>
      <c r="C49" s="8" t="s">
        <v>131</v>
      </c>
      <c r="D49" s="8" t="s">
        <v>25</v>
      </c>
      <c r="E49" s="8" t="s">
        <v>26</v>
      </c>
      <c r="F49" s="8" t="s">
        <v>42</v>
      </c>
      <c r="G49" s="8" t="s">
        <v>43</v>
      </c>
      <c r="H49" s="9" t="n">
        <v>87800</v>
      </c>
      <c r="I49" s="9" t="n">
        <v>7000</v>
      </c>
      <c r="J49" s="9" t="n">
        <v>15800</v>
      </c>
      <c r="K49" s="9" t="n">
        <v>110600</v>
      </c>
      <c r="L49" s="8" t="n">
        <v>8</v>
      </c>
      <c r="M49" s="8" t="s">
        <v>132</v>
      </c>
      <c r="N49" s="8" t="n">
        <v>2020</v>
      </c>
      <c r="O49" s="10" t="n">
        <v>4.3</v>
      </c>
      <c r="P49" s="8" t="s">
        <v>30</v>
      </c>
      <c r="Q49" s="8" t="s">
        <v>75</v>
      </c>
      <c r="R49" s="8" t="s">
        <v>32</v>
      </c>
      <c r="S49" s="8" t="n">
        <v>1</v>
      </c>
      <c r="T49" s="8" t="n">
        <v>1</v>
      </c>
    </row>
    <row r="50" customFormat="false" ht="15" hidden="false" customHeight="false" outlineLevel="0" collapsed="false">
      <c r="A50" s="5" t="s">
        <v>133</v>
      </c>
      <c r="B50" s="5" t="s">
        <v>130</v>
      </c>
      <c r="C50" s="5" t="s">
        <v>131</v>
      </c>
      <c r="D50" s="5" t="s">
        <v>25</v>
      </c>
      <c r="E50" s="5" t="s">
        <v>26</v>
      </c>
      <c r="F50" s="5" t="s">
        <v>42</v>
      </c>
      <c r="G50" s="5" t="s">
        <v>43</v>
      </c>
      <c r="H50" s="6" t="n">
        <v>81200</v>
      </c>
      <c r="I50" s="6" t="n">
        <v>6500</v>
      </c>
      <c r="J50" s="6" t="n">
        <v>14600</v>
      </c>
      <c r="K50" s="6" t="n">
        <v>102300</v>
      </c>
      <c r="L50" s="5" t="n">
        <v>8</v>
      </c>
      <c r="M50" s="5" t="s">
        <v>53</v>
      </c>
      <c r="N50" s="5" t="n">
        <v>2023</v>
      </c>
      <c r="O50" s="7" t="n">
        <v>1.2</v>
      </c>
      <c r="P50" s="5" t="s">
        <v>30</v>
      </c>
      <c r="Q50" s="5" t="s">
        <v>57</v>
      </c>
      <c r="R50" s="5" t="s">
        <v>49</v>
      </c>
      <c r="S50" s="5" t="n">
        <v>1</v>
      </c>
      <c r="T50" s="5" t="n">
        <v>1</v>
      </c>
    </row>
    <row r="51" customFormat="false" ht="15" hidden="false" customHeight="false" outlineLevel="0" collapsed="false">
      <c r="A51" s="8" t="s">
        <v>134</v>
      </c>
      <c r="B51" s="8" t="s">
        <v>130</v>
      </c>
      <c r="C51" s="8" t="s">
        <v>131</v>
      </c>
      <c r="D51" s="8" t="s">
        <v>25</v>
      </c>
      <c r="E51" s="8" t="s">
        <v>26</v>
      </c>
      <c r="F51" s="8" t="s">
        <v>27</v>
      </c>
      <c r="G51" s="8" t="s">
        <v>28</v>
      </c>
      <c r="H51" s="9" t="n">
        <v>56100</v>
      </c>
      <c r="I51" s="9" t="n">
        <v>0</v>
      </c>
      <c r="J51" s="9" t="n">
        <v>10100</v>
      </c>
      <c r="K51" s="9" t="n">
        <v>66200</v>
      </c>
      <c r="L51" s="8" t="n">
        <v>0</v>
      </c>
      <c r="M51" s="8" t="s">
        <v>135</v>
      </c>
      <c r="N51" s="8" t="n">
        <v>2019</v>
      </c>
      <c r="O51" s="10" t="n">
        <v>5.7</v>
      </c>
      <c r="P51" s="8" t="s">
        <v>30</v>
      </c>
      <c r="Q51" s="8" t="s">
        <v>57</v>
      </c>
      <c r="R51" s="8" t="s">
        <v>40</v>
      </c>
      <c r="S51" s="8" t="n">
        <v>1</v>
      </c>
      <c r="T51" s="8" t="n">
        <v>1</v>
      </c>
    </row>
    <row r="52" customFormat="false" ht="15" hidden="false" customHeight="false" outlineLevel="0" collapsed="false">
      <c r="A52" s="5" t="s">
        <v>136</v>
      </c>
      <c r="B52" s="5" t="s">
        <v>130</v>
      </c>
      <c r="C52" s="5" t="s">
        <v>131</v>
      </c>
      <c r="D52" s="5" t="s">
        <v>25</v>
      </c>
      <c r="E52" s="5" t="s">
        <v>26</v>
      </c>
      <c r="F52" s="5" t="s">
        <v>42</v>
      </c>
      <c r="G52" s="5" t="s">
        <v>43</v>
      </c>
      <c r="H52" s="6" t="n">
        <v>88500</v>
      </c>
      <c r="I52" s="6" t="n">
        <v>7100</v>
      </c>
      <c r="J52" s="6" t="n">
        <v>15900</v>
      </c>
      <c r="K52" s="6" t="n">
        <v>111500</v>
      </c>
      <c r="L52" s="5" t="n">
        <v>8</v>
      </c>
      <c r="M52" s="5" t="s">
        <v>51</v>
      </c>
      <c r="N52" s="5" t="n">
        <v>2023</v>
      </c>
      <c r="O52" s="7" t="n">
        <v>1.3</v>
      </c>
      <c r="P52" s="5" t="s">
        <v>30</v>
      </c>
      <c r="Q52" s="5" t="s">
        <v>57</v>
      </c>
      <c r="R52" s="5" t="s">
        <v>49</v>
      </c>
      <c r="S52" s="5" t="n">
        <v>1</v>
      </c>
      <c r="T52" s="5" t="n">
        <v>1</v>
      </c>
    </row>
    <row r="53" customFormat="false" ht="15" hidden="false" customHeight="false" outlineLevel="0" collapsed="false">
      <c r="A53" s="8" t="s">
        <v>137</v>
      </c>
      <c r="B53" s="8" t="s">
        <v>130</v>
      </c>
      <c r="C53" s="8" t="s">
        <v>131</v>
      </c>
      <c r="D53" s="8" t="s">
        <v>25</v>
      </c>
      <c r="E53" s="8" t="s">
        <v>26</v>
      </c>
      <c r="F53" s="8" t="s">
        <v>34</v>
      </c>
      <c r="G53" s="8" t="s">
        <v>35</v>
      </c>
      <c r="H53" s="9" t="n">
        <v>59900</v>
      </c>
      <c r="I53" s="9" t="n">
        <v>3000</v>
      </c>
      <c r="J53" s="9" t="n">
        <v>10800</v>
      </c>
      <c r="K53" s="9" t="n">
        <v>73700</v>
      </c>
      <c r="L53" s="8" t="n">
        <v>5</v>
      </c>
      <c r="M53" s="8" t="s">
        <v>138</v>
      </c>
      <c r="N53" s="8" t="n">
        <v>2019</v>
      </c>
      <c r="O53" s="10" t="n">
        <v>5.9</v>
      </c>
      <c r="P53" s="8" t="s">
        <v>82</v>
      </c>
      <c r="Q53" s="8" t="s">
        <v>31</v>
      </c>
      <c r="R53" s="8" t="s">
        <v>49</v>
      </c>
      <c r="S53" s="8" t="n">
        <v>1</v>
      </c>
      <c r="T53" s="8" t="n">
        <v>0</v>
      </c>
    </row>
    <row r="54" customFormat="false" ht="15" hidden="false" customHeight="false" outlineLevel="0" collapsed="false">
      <c r="A54" s="5" t="s">
        <v>139</v>
      </c>
      <c r="B54" s="5" t="s">
        <v>130</v>
      </c>
      <c r="C54" s="5" t="s">
        <v>131</v>
      </c>
      <c r="D54" s="5" t="s">
        <v>25</v>
      </c>
      <c r="E54" s="5" t="s">
        <v>26</v>
      </c>
      <c r="F54" s="5" t="s">
        <v>79</v>
      </c>
      <c r="G54" s="5" t="s">
        <v>80</v>
      </c>
      <c r="H54" s="6" t="n">
        <v>109800</v>
      </c>
      <c r="I54" s="6" t="n">
        <v>13200</v>
      </c>
      <c r="J54" s="6" t="n">
        <v>19800</v>
      </c>
      <c r="K54" s="6" t="n">
        <v>142800</v>
      </c>
      <c r="L54" s="5" t="n">
        <v>12</v>
      </c>
      <c r="M54" s="5" t="s">
        <v>140</v>
      </c>
      <c r="N54" s="5" t="n">
        <v>2020</v>
      </c>
      <c r="O54" s="7" t="n">
        <v>4.5</v>
      </c>
      <c r="P54" s="5" t="s">
        <v>30</v>
      </c>
      <c r="Q54" s="5" t="s">
        <v>57</v>
      </c>
      <c r="R54" s="5" t="s">
        <v>40</v>
      </c>
      <c r="S54" s="5" t="n">
        <v>0</v>
      </c>
      <c r="T54" s="5" t="n">
        <v>1</v>
      </c>
    </row>
    <row r="55" customFormat="false" ht="15" hidden="false" customHeight="false" outlineLevel="0" collapsed="false">
      <c r="A55" s="8" t="s">
        <v>141</v>
      </c>
      <c r="B55" s="8" t="s">
        <v>130</v>
      </c>
      <c r="C55" s="8" t="s">
        <v>131</v>
      </c>
      <c r="D55" s="8" t="s">
        <v>25</v>
      </c>
      <c r="E55" s="8" t="s">
        <v>26</v>
      </c>
      <c r="F55" s="8" t="s">
        <v>34</v>
      </c>
      <c r="G55" s="8" t="s">
        <v>35</v>
      </c>
      <c r="H55" s="9" t="n">
        <v>65600</v>
      </c>
      <c r="I55" s="9" t="n">
        <v>3300</v>
      </c>
      <c r="J55" s="9" t="n">
        <v>11800</v>
      </c>
      <c r="K55" s="9" t="n">
        <v>80700</v>
      </c>
      <c r="L55" s="8" t="n">
        <v>5</v>
      </c>
      <c r="M55" s="8" t="s">
        <v>112</v>
      </c>
      <c r="N55" s="8" t="n">
        <v>2020</v>
      </c>
      <c r="O55" s="10" t="n">
        <v>4.9</v>
      </c>
      <c r="P55" s="8" t="s">
        <v>30</v>
      </c>
      <c r="Q55" s="8" t="s">
        <v>31</v>
      </c>
      <c r="R55" s="8" t="s">
        <v>40</v>
      </c>
      <c r="S55" s="8" t="n">
        <v>1</v>
      </c>
      <c r="T55" s="8" t="n">
        <v>1</v>
      </c>
    </row>
    <row r="56" customFormat="false" ht="15" hidden="false" customHeight="false" outlineLevel="0" collapsed="false">
      <c r="A56" s="5" t="s">
        <v>142</v>
      </c>
      <c r="B56" s="5" t="s">
        <v>130</v>
      </c>
      <c r="C56" s="5" t="s">
        <v>131</v>
      </c>
      <c r="D56" s="5" t="s">
        <v>25</v>
      </c>
      <c r="E56" s="5" t="s">
        <v>26</v>
      </c>
      <c r="F56" s="5" t="s">
        <v>42</v>
      </c>
      <c r="G56" s="5" t="s">
        <v>43</v>
      </c>
      <c r="H56" s="6" t="n">
        <v>89700</v>
      </c>
      <c r="I56" s="6" t="n">
        <v>7200</v>
      </c>
      <c r="J56" s="6" t="n">
        <v>16100</v>
      </c>
      <c r="K56" s="6" t="n">
        <v>113000</v>
      </c>
      <c r="L56" s="5" t="n">
        <v>8</v>
      </c>
      <c r="M56" s="5" t="s">
        <v>72</v>
      </c>
      <c r="N56" s="5" t="n">
        <v>2024</v>
      </c>
      <c r="O56" s="7" t="n">
        <v>0.5</v>
      </c>
      <c r="P56" s="5" t="s">
        <v>30</v>
      </c>
      <c r="Q56" s="5" t="s">
        <v>31</v>
      </c>
      <c r="R56" s="5" t="s">
        <v>40</v>
      </c>
      <c r="S56" s="5" t="n">
        <v>1</v>
      </c>
      <c r="T56" s="5" t="n">
        <v>1</v>
      </c>
    </row>
    <row r="57" customFormat="false" ht="15" hidden="false" customHeight="false" outlineLevel="0" collapsed="false">
      <c r="A57" s="8" t="s">
        <v>143</v>
      </c>
      <c r="B57" s="8" t="s">
        <v>130</v>
      </c>
      <c r="C57" s="8" t="s">
        <v>131</v>
      </c>
      <c r="D57" s="8" t="s">
        <v>25</v>
      </c>
      <c r="E57" s="8" t="s">
        <v>26</v>
      </c>
      <c r="F57" s="8" t="s">
        <v>42</v>
      </c>
      <c r="G57" s="8" t="s">
        <v>43</v>
      </c>
      <c r="H57" s="9" t="n">
        <v>76700</v>
      </c>
      <c r="I57" s="9" t="n">
        <v>6100</v>
      </c>
      <c r="J57" s="9" t="n">
        <v>13800</v>
      </c>
      <c r="K57" s="9" t="n">
        <v>96600</v>
      </c>
      <c r="L57" s="8" t="n">
        <v>8</v>
      </c>
      <c r="M57" s="8" t="s">
        <v>144</v>
      </c>
      <c r="N57" s="8" t="n">
        <v>2019</v>
      </c>
      <c r="O57" s="10" t="n">
        <v>5.6</v>
      </c>
      <c r="P57" s="8" t="s">
        <v>54</v>
      </c>
      <c r="Q57" s="8" t="s">
        <v>45</v>
      </c>
      <c r="R57" s="8" t="s">
        <v>40</v>
      </c>
      <c r="S57" s="8" t="n">
        <v>1</v>
      </c>
      <c r="T57" s="8" t="n">
        <v>1</v>
      </c>
    </row>
    <row r="58" customFormat="false" ht="15" hidden="false" customHeight="false" outlineLevel="0" collapsed="false">
      <c r="A58" s="5" t="s">
        <v>145</v>
      </c>
      <c r="B58" s="5" t="s">
        <v>130</v>
      </c>
      <c r="C58" s="5" t="s">
        <v>131</v>
      </c>
      <c r="D58" s="5" t="s">
        <v>25</v>
      </c>
      <c r="E58" s="5" t="s">
        <v>26</v>
      </c>
      <c r="F58" s="5" t="s">
        <v>42</v>
      </c>
      <c r="G58" s="5" t="s">
        <v>43</v>
      </c>
      <c r="H58" s="6" t="n">
        <v>85400</v>
      </c>
      <c r="I58" s="6" t="n">
        <v>6800</v>
      </c>
      <c r="J58" s="6" t="n">
        <v>15400</v>
      </c>
      <c r="K58" s="6" t="n">
        <v>107600</v>
      </c>
      <c r="L58" s="5" t="n">
        <v>8</v>
      </c>
      <c r="M58" s="5" t="s">
        <v>44</v>
      </c>
      <c r="N58" s="5" t="n">
        <v>2019</v>
      </c>
      <c r="O58" s="7" t="n">
        <v>5.2</v>
      </c>
      <c r="P58" s="5" t="s">
        <v>30</v>
      </c>
      <c r="Q58" s="5" t="s">
        <v>48</v>
      </c>
      <c r="R58" s="5" t="s">
        <v>32</v>
      </c>
      <c r="S58" s="5" t="n">
        <v>1</v>
      </c>
      <c r="T58" s="5" t="n">
        <v>1</v>
      </c>
    </row>
    <row r="59" customFormat="false" ht="15" hidden="false" customHeight="false" outlineLevel="0" collapsed="false">
      <c r="A59" s="8" t="s">
        <v>146</v>
      </c>
      <c r="B59" s="8" t="s">
        <v>130</v>
      </c>
      <c r="C59" s="8" t="s">
        <v>131</v>
      </c>
      <c r="D59" s="8" t="s">
        <v>25</v>
      </c>
      <c r="E59" s="8" t="s">
        <v>26</v>
      </c>
      <c r="F59" s="8" t="s">
        <v>34</v>
      </c>
      <c r="G59" s="8" t="s">
        <v>35</v>
      </c>
      <c r="H59" s="9" t="n">
        <v>57900</v>
      </c>
      <c r="I59" s="9" t="n">
        <v>2900</v>
      </c>
      <c r="J59" s="9" t="n">
        <v>10400</v>
      </c>
      <c r="K59" s="9" t="n">
        <v>71200</v>
      </c>
      <c r="L59" s="8" t="n">
        <v>5</v>
      </c>
      <c r="M59" s="8" t="s">
        <v>147</v>
      </c>
      <c r="N59" s="8" t="n">
        <v>2019</v>
      </c>
      <c r="O59" s="10" t="n">
        <v>6</v>
      </c>
      <c r="P59" s="8" t="s">
        <v>82</v>
      </c>
      <c r="Q59" s="8" t="s">
        <v>31</v>
      </c>
      <c r="R59" s="8" t="s">
        <v>40</v>
      </c>
      <c r="S59" s="8" t="n">
        <v>0</v>
      </c>
      <c r="T59" s="8" t="n">
        <v>0</v>
      </c>
    </row>
    <row r="60" customFormat="false" ht="15" hidden="false" customHeight="false" outlineLevel="0" collapsed="false">
      <c r="A60" s="5" t="s">
        <v>148</v>
      </c>
      <c r="B60" s="5" t="s">
        <v>130</v>
      </c>
      <c r="C60" s="5" t="s">
        <v>131</v>
      </c>
      <c r="D60" s="5" t="s">
        <v>25</v>
      </c>
      <c r="E60" s="5" t="s">
        <v>26</v>
      </c>
      <c r="F60" s="5" t="s">
        <v>34</v>
      </c>
      <c r="G60" s="5" t="s">
        <v>35</v>
      </c>
      <c r="H60" s="6" t="n">
        <v>56700</v>
      </c>
      <c r="I60" s="6" t="n">
        <v>2800</v>
      </c>
      <c r="J60" s="6" t="n">
        <v>10200</v>
      </c>
      <c r="K60" s="6" t="n">
        <v>69700</v>
      </c>
      <c r="L60" s="5" t="n">
        <v>5</v>
      </c>
      <c r="M60" s="5" t="s">
        <v>39</v>
      </c>
      <c r="N60" s="5" t="n">
        <v>2019</v>
      </c>
      <c r="O60" s="7" t="n">
        <v>5.3</v>
      </c>
      <c r="P60" s="5" t="s">
        <v>82</v>
      </c>
      <c r="Q60" s="5" t="s">
        <v>48</v>
      </c>
      <c r="R60" s="5" t="s">
        <v>32</v>
      </c>
      <c r="S60" s="5" t="n">
        <v>0</v>
      </c>
      <c r="T60" s="5" t="n">
        <v>0</v>
      </c>
    </row>
    <row r="61" customFormat="false" ht="15" hidden="false" customHeight="false" outlineLevel="0" collapsed="false">
      <c r="A61" s="8" t="s">
        <v>149</v>
      </c>
      <c r="B61" s="8" t="s">
        <v>130</v>
      </c>
      <c r="C61" s="8" t="s">
        <v>131</v>
      </c>
      <c r="D61" s="8" t="s">
        <v>25</v>
      </c>
      <c r="E61" s="8" t="s">
        <v>26</v>
      </c>
      <c r="F61" s="8" t="s">
        <v>42</v>
      </c>
      <c r="G61" s="8" t="s">
        <v>43</v>
      </c>
      <c r="H61" s="9" t="n">
        <v>80500</v>
      </c>
      <c r="I61" s="9" t="n">
        <v>6400</v>
      </c>
      <c r="J61" s="9" t="n">
        <v>14500</v>
      </c>
      <c r="K61" s="9" t="n">
        <v>101400</v>
      </c>
      <c r="L61" s="8" t="n">
        <v>8</v>
      </c>
      <c r="M61" s="8" t="s">
        <v>140</v>
      </c>
      <c r="N61" s="8" t="n">
        <v>2020</v>
      </c>
      <c r="O61" s="10" t="n">
        <v>4.5</v>
      </c>
      <c r="P61" s="8" t="s">
        <v>30</v>
      </c>
      <c r="Q61" s="8" t="s">
        <v>37</v>
      </c>
      <c r="R61" s="8" t="s">
        <v>32</v>
      </c>
      <c r="S61" s="8" t="n">
        <v>1</v>
      </c>
      <c r="T61" s="8" t="n">
        <v>1</v>
      </c>
    </row>
    <row r="62" customFormat="false" ht="15" hidden="false" customHeight="false" outlineLevel="0" collapsed="false">
      <c r="A62" s="5" t="s">
        <v>150</v>
      </c>
      <c r="B62" s="5" t="s">
        <v>130</v>
      </c>
      <c r="C62" s="5" t="s">
        <v>131</v>
      </c>
      <c r="D62" s="5" t="s">
        <v>25</v>
      </c>
      <c r="E62" s="5" t="s">
        <v>26</v>
      </c>
      <c r="F62" s="5" t="s">
        <v>42</v>
      </c>
      <c r="G62" s="5" t="s">
        <v>43</v>
      </c>
      <c r="H62" s="6" t="n">
        <v>74600</v>
      </c>
      <c r="I62" s="6" t="n">
        <v>6000</v>
      </c>
      <c r="J62" s="6" t="n">
        <v>13400</v>
      </c>
      <c r="K62" s="6" t="n">
        <v>94000</v>
      </c>
      <c r="L62" s="5" t="n">
        <v>8</v>
      </c>
      <c r="M62" s="5" t="s">
        <v>151</v>
      </c>
      <c r="N62" s="5" t="n">
        <v>2021</v>
      </c>
      <c r="O62" s="7" t="n">
        <v>3.3</v>
      </c>
      <c r="P62" s="5" t="s">
        <v>30</v>
      </c>
      <c r="Q62" s="5" t="s">
        <v>75</v>
      </c>
      <c r="R62" s="5" t="s">
        <v>32</v>
      </c>
      <c r="S62" s="5" t="n">
        <v>1</v>
      </c>
      <c r="T62" s="5" t="n">
        <v>1</v>
      </c>
    </row>
    <row r="63" customFormat="false" ht="15" hidden="false" customHeight="false" outlineLevel="0" collapsed="false">
      <c r="A63" s="8" t="s">
        <v>152</v>
      </c>
      <c r="B63" s="8" t="s">
        <v>130</v>
      </c>
      <c r="C63" s="8" t="s">
        <v>131</v>
      </c>
      <c r="D63" s="8" t="s">
        <v>25</v>
      </c>
      <c r="E63" s="8" t="s">
        <v>26</v>
      </c>
      <c r="F63" s="8" t="s">
        <v>79</v>
      </c>
      <c r="G63" s="8" t="s">
        <v>80</v>
      </c>
      <c r="H63" s="9" t="n">
        <v>106300</v>
      </c>
      <c r="I63" s="9" t="n">
        <v>12800</v>
      </c>
      <c r="J63" s="9" t="n">
        <v>19100</v>
      </c>
      <c r="K63" s="9" t="n">
        <v>138200</v>
      </c>
      <c r="L63" s="8" t="n">
        <v>12</v>
      </c>
      <c r="M63" s="8" t="s">
        <v>124</v>
      </c>
      <c r="N63" s="8" t="n">
        <v>2022</v>
      </c>
      <c r="O63" s="10" t="n">
        <v>2.9</v>
      </c>
      <c r="P63" s="8" t="s">
        <v>82</v>
      </c>
      <c r="Q63" s="8" t="s">
        <v>45</v>
      </c>
      <c r="R63" s="8" t="s">
        <v>32</v>
      </c>
      <c r="S63" s="8" t="n">
        <v>1</v>
      </c>
      <c r="T63" s="8" t="n">
        <v>0</v>
      </c>
    </row>
    <row r="64" customFormat="false" ht="15" hidden="false" customHeight="false" outlineLevel="0" collapsed="false">
      <c r="A64" s="5" t="s">
        <v>153</v>
      </c>
      <c r="B64" s="5" t="s">
        <v>130</v>
      </c>
      <c r="C64" s="5" t="s">
        <v>131</v>
      </c>
      <c r="D64" s="5" t="s">
        <v>25</v>
      </c>
      <c r="E64" s="5" t="s">
        <v>26</v>
      </c>
      <c r="F64" s="5" t="s">
        <v>27</v>
      </c>
      <c r="G64" s="5" t="s">
        <v>28</v>
      </c>
      <c r="H64" s="6" t="n">
        <v>49000</v>
      </c>
      <c r="I64" s="6" t="n">
        <v>0</v>
      </c>
      <c r="J64" s="6" t="n">
        <v>8800</v>
      </c>
      <c r="K64" s="6" t="n">
        <v>57800</v>
      </c>
      <c r="L64" s="5" t="n">
        <v>0</v>
      </c>
      <c r="M64" s="5" t="s">
        <v>154</v>
      </c>
      <c r="N64" s="5" t="n">
        <v>2021</v>
      </c>
      <c r="O64" s="7" t="n">
        <v>3.5</v>
      </c>
      <c r="P64" s="5" t="s">
        <v>54</v>
      </c>
      <c r="Q64" s="5" t="s">
        <v>48</v>
      </c>
      <c r="R64" s="5" t="s">
        <v>49</v>
      </c>
      <c r="S64" s="5" t="n">
        <v>0</v>
      </c>
      <c r="T64" s="5" t="n">
        <v>1</v>
      </c>
    </row>
    <row r="65" customFormat="false" ht="15" hidden="false" customHeight="false" outlineLevel="0" collapsed="false">
      <c r="A65" s="8" t="s">
        <v>155</v>
      </c>
      <c r="B65" s="8" t="s">
        <v>130</v>
      </c>
      <c r="C65" s="8" t="s">
        <v>131</v>
      </c>
      <c r="D65" s="8" t="s">
        <v>25</v>
      </c>
      <c r="E65" s="8" t="s">
        <v>26</v>
      </c>
      <c r="F65" s="8" t="s">
        <v>34</v>
      </c>
      <c r="G65" s="8" t="s">
        <v>35</v>
      </c>
      <c r="H65" s="9" t="n">
        <v>55500</v>
      </c>
      <c r="I65" s="9" t="n">
        <v>2800</v>
      </c>
      <c r="J65" s="9" t="n">
        <v>10000</v>
      </c>
      <c r="K65" s="9" t="n">
        <v>68300</v>
      </c>
      <c r="L65" s="8" t="n">
        <v>5</v>
      </c>
      <c r="M65" s="8" t="s">
        <v>156</v>
      </c>
      <c r="N65" s="8" t="n">
        <v>2024</v>
      </c>
      <c r="O65" s="10" t="n">
        <v>1</v>
      </c>
      <c r="P65" s="8" t="s">
        <v>30</v>
      </c>
      <c r="Q65" s="8" t="s">
        <v>45</v>
      </c>
      <c r="R65" s="8" t="s">
        <v>32</v>
      </c>
      <c r="S65" s="8" t="n">
        <v>1</v>
      </c>
      <c r="T65" s="8" t="n">
        <v>1</v>
      </c>
    </row>
    <row r="66" customFormat="false" ht="15" hidden="false" customHeight="false" outlineLevel="0" collapsed="false">
      <c r="A66" s="5" t="s">
        <v>157</v>
      </c>
      <c r="B66" s="5" t="s">
        <v>130</v>
      </c>
      <c r="C66" s="5" t="s">
        <v>131</v>
      </c>
      <c r="D66" s="5" t="s">
        <v>25</v>
      </c>
      <c r="E66" s="5" t="s">
        <v>26</v>
      </c>
      <c r="F66" s="5" t="s">
        <v>34</v>
      </c>
      <c r="G66" s="5" t="s">
        <v>35</v>
      </c>
      <c r="H66" s="6" t="n">
        <v>63800</v>
      </c>
      <c r="I66" s="6" t="n">
        <v>3200</v>
      </c>
      <c r="J66" s="6" t="n">
        <v>11500</v>
      </c>
      <c r="K66" s="6" t="n">
        <v>78500</v>
      </c>
      <c r="L66" s="5" t="n">
        <v>5</v>
      </c>
      <c r="M66" s="5" t="s">
        <v>135</v>
      </c>
      <c r="N66" s="5" t="n">
        <v>2019</v>
      </c>
      <c r="O66" s="7" t="n">
        <v>5.7</v>
      </c>
      <c r="P66" s="5" t="s">
        <v>30</v>
      </c>
      <c r="Q66" s="5" t="s">
        <v>31</v>
      </c>
      <c r="R66" s="5" t="s">
        <v>32</v>
      </c>
      <c r="S66" s="5" t="n">
        <v>1</v>
      </c>
      <c r="T66" s="5" t="n">
        <v>1</v>
      </c>
    </row>
    <row r="67" customFormat="false" ht="15" hidden="false" customHeight="false" outlineLevel="0" collapsed="false">
      <c r="A67" s="8" t="s">
        <v>158</v>
      </c>
      <c r="B67" s="8" t="s">
        <v>159</v>
      </c>
      <c r="C67" s="8" t="s">
        <v>160</v>
      </c>
      <c r="D67" s="8" t="s">
        <v>25</v>
      </c>
      <c r="E67" s="8" t="s">
        <v>26</v>
      </c>
      <c r="F67" s="8" t="s">
        <v>34</v>
      </c>
      <c r="G67" s="8" t="s">
        <v>35</v>
      </c>
      <c r="H67" s="9" t="n">
        <v>58700</v>
      </c>
      <c r="I67" s="9" t="n">
        <v>2900</v>
      </c>
      <c r="J67" s="9" t="n">
        <v>10600</v>
      </c>
      <c r="K67" s="9" t="n">
        <v>72200</v>
      </c>
      <c r="L67" s="8" t="n">
        <v>5</v>
      </c>
      <c r="M67" s="8" t="s">
        <v>124</v>
      </c>
      <c r="N67" s="8" t="n">
        <v>2022</v>
      </c>
      <c r="O67" s="10" t="n">
        <v>2.9</v>
      </c>
      <c r="P67" s="8" t="s">
        <v>30</v>
      </c>
      <c r="Q67" s="8" t="s">
        <v>37</v>
      </c>
      <c r="R67" s="8" t="s">
        <v>49</v>
      </c>
      <c r="S67" s="8" t="n">
        <v>0</v>
      </c>
      <c r="T67" s="8" t="n">
        <v>1</v>
      </c>
    </row>
    <row r="68" customFormat="false" ht="15" hidden="false" customHeight="false" outlineLevel="0" collapsed="false">
      <c r="A68" s="5" t="s">
        <v>161</v>
      </c>
      <c r="B68" s="5" t="s">
        <v>159</v>
      </c>
      <c r="C68" s="5" t="s">
        <v>160</v>
      </c>
      <c r="D68" s="5" t="s">
        <v>25</v>
      </c>
      <c r="E68" s="5" t="s">
        <v>26</v>
      </c>
      <c r="F68" s="5" t="s">
        <v>42</v>
      </c>
      <c r="G68" s="5" t="s">
        <v>43</v>
      </c>
      <c r="H68" s="6" t="n">
        <v>79000</v>
      </c>
      <c r="I68" s="6" t="n">
        <v>6300</v>
      </c>
      <c r="J68" s="6" t="n">
        <v>14200</v>
      </c>
      <c r="K68" s="6" t="n">
        <v>99500</v>
      </c>
      <c r="L68" s="5" t="n">
        <v>8</v>
      </c>
      <c r="M68" s="5" t="s">
        <v>162</v>
      </c>
      <c r="N68" s="5" t="n">
        <v>2021</v>
      </c>
      <c r="O68" s="7" t="n">
        <v>3.7</v>
      </c>
      <c r="P68" s="5" t="s">
        <v>30</v>
      </c>
      <c r="Q68" s="5" t="s">
        <v>57</v>
      </c>
      <c r="R68" s="5" t="s">
        <v>40</v>
      </c>
      <c r="S68" s="5" t="n">
        <v>1</v>
      </c>
      <c r="T68" s="5" t="n">
        <v>1</v>
      </c>
    </row>
    <row r="69" customFormat="false" ht="15" hidden="false" customHeight="false" outlineLevel="0" collapsed="false">
      <c r="A69" s="8" t="s">
        <v>163</v>
      </c>
      <c r="B69" s="8" t="s">
        <v>159</v>
      </c>
      <c r="C69" s="8" t="s">
        <v>160</v>
      </c>
      <c r="D69" s="8" t="s">
        <v>25</v>
      </c>
      <c r="E69" s="8" t="s">
        <v>26</v>
      </c>
      <c r="F69" s="8" t="s">
        <v>79</v>
      </c>
      <c r="G69" s="8" t="s">
        <v>80</v>
      </c>
      <c r="H69" s="9" t="n">
        <v>110000</v>
      </c>
      <c r="I69" s="9" t="n">
        <v>13200</v>
      </c>
      <c r="J69" s="9" t="n">
        <v>19800</v>
      </c>
      <c r="K69" s="9" t="n">
        <v>143000</v>
      </c>
      <c r="L69" s="8" t="n">
        <v>12</v>
      </c>
      <c r="M69" s="8" t="s">
        <v>85</v>
      </c>
      <c r="N69" s="8" t="n">
        <v>2022</v>
      </c>
      <c r="O69" s="10" t="n">
        <v>2.5</v>
      </c>
      <c r="P69" s="8" t="s">
        <v>30</v>
      </c>
      <c r="Q69" s="8" t="s">
        <v>75</v>
      </c>
      <c r="R69" s="8" t="s">
        <v>40</v>
      </c>
      <c r="S69" s="8" t="n">
        <v>1</v>
      </c>
      <c r="T69" s="8" t="n">
        <v>1</v>
      </c>
    </row>
    <row r="70" customFormat="false" ht="15" hidden="false" customHeight="false" outlineLevel="0" collapsed="false">
      <c r="A70" s="5" t="s">
        <v>164</v>
      </c>
      <c r="B70" s="5" t="s">
        <v>159</v>
      </c>
      <c r="C70" s="5" t="s">
        <v>160</v>
      </c>
      <c r="D70" s="5" t="s">
        <v>25</v>
      </c>
      <c r="E70" s="5" t="s">
        <v>26</v>
      </c>
      <c r="F70" s="5" t="s">
        <v>34</v>
      </c>
      <c r="G70" s="5" t="s">
        <v>35</v>
      </c>
      <c r="H70" s="6" t="n">
        <v>57000</v>
      </c>
      <c r="I70" s="6" t="n">
        <v>2800</v>
      </c>
      <c r="J70" s="6" t="n">
        <v>10300</v>
      </c>
      <c r="K70" s="6" t="n">
        <v>70100</v>
      </c>
      <c r="L70" s="5" t="n">
        <v>5</v>
      </c>
      <c r="M70" s="5" t="s">
        <v>165</v>
      </c>
      <c r="N70" s="5" t="n">
        <v>2020</v>
      </c>
      <c r="O70" s="7" t="n">
        <v>4.8</v>
      </c>
      <c r="P70" s="5" t="s">
        <v>30</v>
      </c>
      <c r="Q70" s="5" t="s">
        <v>57</v>
      </c>
      <c r="R70" s="5" t="s">
        <v>40</v>
      </c>
      <c r="S70" s="5" t="n">
        <v>1</v>
      </c>
      <c r="T70" s="5" t="n">
        <v>1</v>
      </c>
    </row>
    <row r="71" customFormat="false" ht="15" hidden="false" customHeight="false" outlineLevel="0" collapsed="false">
      <c r="A71" s="8" t="s">
        <v>166</v>
      </c>
      <c r="B71" s="8" t="s">
        <v>159</v>
      </c>
      <c r="C71" s="8" t="s">
        <v>160</v>
      </c>
      <c r="D71" s="8" t="s">
        <v>25</v>
      </c>
      <c r="E71" s="8" t="s">
        <v>26</v>
      </c>
      <c r="F71" s="8" t="s">
        <v>27</v>
      </c>
      <c r="G71" s="8" t="s">
        <v>28</v>
      </c>
      <c r="H71" s="9" t="n">
        <v>54100</v>
      </c>
      <c r="I71" s="9" t="n">
        <v>0</v>
      </c>
      <c r="J71" s="9" t="n">
        <v>9700</v>
      </c>
      <c r="K71" s="9" t="n">
        <v>63800</v>
      </c>
      <c r="L71" s="8" t="n">
        <v>0</v>
      </c>
      <c r="M71" s="8" t="s">
        <v>126</v>
      </c>
      <c r="N71" s="8" t="n">
        <v>2022</v>
      </c>
      <c r="O71" s="10" t="n">
        <v>2.8</v>
      </c>
      <c r="P71" s="8" t="s">
        <v>30</v>
      </c>
      <c r="Q71" s="8" t="s">
        <v>48</v>
      </c>
      <c r="R71" s="8" t="s">
        <v>40</v>
      </c>
      <c r="S71" s="8" t="n">
        <v>0</v>
      </c>
      <c r="T71" s="8" t="n">
        <v>1</v>
      </c>
    </row>
    <row r="72" customFormat="false" ht="15" hidden="false" customHeight="false" outlineLevel="0" collapsed="false">
      <c r="A72" s="5" t="s">
        <v>167</v>
      </c>
      <c r="B72" s="5" t="s">
        <v>159</v>
      </c>
      <c r="C72" s="5" t="s">
        <v>160</v>
      </c>
      <c r="D72" s="5" t="s">
        <v>25</v>
      </c>
      <c r="E72" s="5" t="s">
        <v>26</v>
      </c>
      <c r="F72" s="5" t="s">
        <v>34</v>
      </c>
      <c r="G72" s="5" t="s">
        <v>35</v>
      </c>
      <c r="H72" s="6" t="n">
        <v>64100</v>
      </c>
      <c r="I72" s="6" t="n">
        <v>3200</v>
      </c>
      <c r="J72" s="6" t="n">
        <v>11500</v>
      </c>
      <c r="K72" s="6" t="n">
        <v>78800</v>
      </c>
      <c r="L72" s="5" t="n">
        <v>5</v>
      </c>
      <c r="M72" s="5" t="s">
        <v>168</v>
      </c>
      <c r="N72" s="5" t="n">
        <v>2021</v>
      </c>
      <c r="O72" s="7" t="n">
        <v>3.2</v>
      </c>
      <c r="P72" s="5" t="s">
        <v>30</v>
      </c>
      <c r="Q72" s="5" t="s">
        <v>75</v>
      </c>
      <c r="R72" s="5" t="s">
        <v>49</v>
      </c>
      <c r="S72" s="5" t="n">
        <v>1</v>
      </c>
      <c r="T72" s="5" t="n">
        <v>1</v>
      </c>
    </row>
    <row r="73" customFormat="false" ht="15" hidden="false" customHeight="false" outlineLevel="0" collapsed="false">
      <c r="A73" s="8" t="s">
        <v>169</v>
      </c>
      <c r="B73" s="8" t="s">
        <v>159</v>
      </c>
      <c r="C73" s="8" t="s">
        <v>160</v>
      </c>
      <c r="D73" s="8" t="s">
        <v>25</v>
      </c>
      <c r="E73" s="8" t="s">
        <v>26</v>
      </c>
      <c r="F73" s="8" t="s">
        <v>93</v>
      </c>
      <c r="G73" s="8" t="s">
        <v>94</v>
      </c>
      <c r="H73" s="9" t="n">
        <v>127900</v>
      </c>
      <c r="I73" s="9" t="n">
        <v>19200</v>
      </c>
      <c r="J73" s="9" t="n">
        <v>23000</v>
      </c>
      <c r="K73" s="9" t="n">
        <v>170100</v>
      </c>
      <c r="L73" s="8" t="n">
        <v>15</v>
      </c>
      <c r="M73" s="8" t="s">
        <v>53</v>
      </c>
      <c r="N73" s="8" t="n">
        <v>2023</v>
      </c>
      <c r="O73" s="10" t="n">
        <v>1.2</v>
      </c>
      <c r="P73" s="8" t="s">
        <v>30</v>
      </c>
      <c r="Q73" s="8" t="s">
        <v>31</v>
      </c>
      <c r="R73" s="8" t="s">
        <v>40</v>
      </c>
      <c r="S73" s="8" t="n">
        <v>1</v>
      </c>
      <c r="T73" s="8" t="n">
        <v>1</v>
      </c>
    </row>
    <row r="74" customFormat="false" ht="15" hidden="false" customHeight="false" outlineLevel="0" collapsed="false">
      <c r="A74" s="5" t="s">
        <v>170</v>
      </c>
      <c r="B74" s="5" t="s">
        <v>159</v>
      </c>
      <c r="C74" s="5" t="s">
        <v>160</v>
      </c>
      <c r="D74" s="5" t="s">
        <v>25</v>
      </c>
      <c r="E74" s="5" t="s">
        <v>26</v>
      </c>
      <c r="F74" s="5" t="s">
        <v>93</v>
      </c>
      <c r="G74" s="5" t="s">
        <v>94</v>
      </c>
      <c r="H74" s="6" t="n">
        <v>125000</v>
      </c>
      <c r="I74" s="6" t="n">
        <v>18800</v>
      </c>
      <c r="J74" s="6" t="n">
        <v>22500</v>
      </c>
      <c r="K74" s="6" t="n">
        <v>166300</v>
      </c>
      <c r="L74" s="5" t="n">
        <v>15</v>
      </c>
      <c r="M74" s="5" t="s">
        <v>171</v>
      </c>
      <c r="N74" s="5" t="n">
        <v>2020</v>
      </c>
      <c r="O74" s="7" t="n">
        <v>4.4</v>
      </c>
      <c r="P74" s="5" t="s">
        <v>30</v>
      </c>
      <c r="Q74" s="5" t="s">
        <v>57</v>
      </c>
      <c r="R74" s="5" t="s">
        <v>40</v>
      </c>
      <c r="S74" s="5" t="n">
        <v>0</v>
      </c>
      <c r="T74" s="5" t="n">
        <v>1</v>
      </c>
    </row>
    <row r="75" customFormat="false" ht="15" hidden="false" customHeight="false" outlineLevel="0" collapsed="false">
      <c r="A75" s="8" t="s">
        <v>172</v>
      </c>
      <c r="B75" s="8" t="s">
        <v>159</v>
      </c>
      <c r="C75" s="8" t="s">
        <v>160</v>
      </c>
      <c r="D75" s="8" t="s">
        <v>25</v>
      </c>
      <c r="E75" s="8" t="s">
        <v>26</v>
      </c>
      <c r="F75" s="8" t="s">
        <v>79</v>
      </c>
      <c r="G75" s="8" t="s">
        <v>80</v>
      </c>
      <c r="H75" s="9" t="n">
        <v>100200</v>
      </c>
      <c r="I75" s="9" t="n">
        <v>12000</v>
      </c>
      <c r="J75" s="9" t="n">
        <v>18000</v>
      </c>
      <c r="K75" s="9" t="n">
        <v>130200</v>
      </c>
      <c r="L75" s="8" t="n">
        <v>12</v>
      </c>
      <c r="M75" s="8" t="s">
        <v>156</v>
      </c>
      <c r="N75" s="8" t="n">
        <v>2024</v>
      </c>
      <c r="O75" s="10" t="n">
        <v>1</v>
      </c>
      <c r="P75" s="8" t="s">
        <v>82</v>
      </c>
      <c r="Q75" s="8" t="s">
        <v>45</v>
      </c>
      <c r="R75" s="8" t="s">
        <v>40</v>
      </c>
      <c r="S75" s="8" t="n">
        <v>1</v>
      </c>
      <c r="T75" s="8" t="n">
        <v>0</v>
      </c>
    </row>
    <row r="76" customFormat="false" ht="15" hidden="false" customHeight="false" outlineLevel="0" collapsed="false">
      <c r="A76" s="5" t="s">
        <v>173</v>
      </c>
      <c r="B76" s="5" t="s">
        <v>159</v>
      </c>
      <c r="C76" s="5" t="s">
        <v>160</v>
      </c>
      <c r="D76" s="5" t="s">
        <v>25</v>
      </c>
      <c r="E76" s="5" t="s">
        <v>26</v>
      </c>
      <c r="F76" s="5" t="s">
        <v>64</v>
      </c>
      <c r="G76" s="5" t="s">
        <v>65</v>
      </c>
      <c r="H76" s="6" t="n">
        <v>173600</v>
      </c>
      <c r="I76" s="6" t="n">
        <v>34700</v>
      </c>
      <c r="J76" s="6" t="n">
        <v>31200</v>
      </c>
      <c r="K76" s="6" t="n">
        <v>239500</v>
      </c>
      <c r="L76" s="5" t="n">
        <v>20</v>
      </c>
      <c r="M76" s="5" t="s">
        <v>72</v>
      </c>
      <c r="N76" s="5" t="n">
        <v>2024</v>
      </c>
      <c r="O76" s="7" t="n">
        <v>0.5</v>
      </c>
      <c r="P76" s="5" t="s">
        <v>82</v>
      </c>
      <c r="Q76" s="5" t="s">
        <v>48</v>
      </c>
      <c r="R76" s="5" t="s">
        <v>40</v>
      </c>
      <c r="S76" s="5" t="n">
        <v>0</v>
      </c>
      <c r="T76" s="5" t="n">
        <v>0</v>
      </c>
    </row>
    <row r="77" customFormat="false" ht="15" hidden="false" customHeight="false" outlineLevel="0" collapsed="false">
      <c r="A77" s="8" t="s">
        <v>174</v>
      </c>
      <c r="B77" s="8" t="s">
        <v>159</v>
      </c>
      <c r="C77" s="8" t="s">
        <v>160</v>
      </c>
      <c r="D77" s="8" t="s">
        <v>25</v>
      </c>
      <c r="E77" s="8" t="s">
        <v>26</v>
      </c>
      <c r="F77" s="8" t="s">
        <v>93</v>
      </c>
      <c r="G77" s="8" t="s">
        <v>94</v>
      </c>
      <c r="H77" s="9" t="n">
        <v>122100</v>
      </c>
      <c r="I77" s="9" t="n">
        <v>18300</v>
      </c>
      <c r="J77" s="9" t="n">
        <v>22000</v>
      </c>
      <c r="K77" s="9" t="n">
        <v>162400</v>
      </c>
      <c r="L77" s="8" t="n">
        <v>15</v>
      </c>
      <c r="M77" s="8" t="s">
        <v>95</v>
      </c>
      <c r="N77" s="8" t="n">
        <v>2019</v>
      </c>
      <c r="O77" s="10" t="n">
        <v>5.3</v>
      </c>
      <c r="P77" s="8" t="s">
        <v>30</v>
      </c>
      <c r="Q77" s="8" t="s">
        <v>75</v>
      </c>
      <c r="R77" s="8" t="s">
        <v>40</v>
      </c>
      <c r="S77" s="8" t="n">
        <v>1</v>
      </c>
      <c r="T77" s="8" t="n">
        <v>1</v>
      </c>
    </row>
    <row r="78" customFormat="false" ht="15" hidden="false" customHeight="false" outlineLevel="0" collapsed="false">
      <c r="A78" s="5" t="s">
        <v>175</v>
      </c>
      <c r="B78" s="5" t="s">
        <v>159</v>
      </c>
      <c r="C78" s="5" t="s">
        <v>160</v>
      </c>
      <c r="D78" s="5" t="s">
        <v>25</v>
      </c>
      <c r="E78" s="5" t="s">
        <v>26</v>
      </c>
      <c r="F78" s="5" t="s">
        <v>27</v>
      </c>
      <c r="G78" s="5" t="s">
        <v>28</v>
      </c>
      <c r="H78" s="6" t="n">
        <v>57500</v>
      </c>
      <c r="I78" s="6" t="n">
        <v>0</v>
      </c>
      <c r="J78" s="6" t="n">
        <v>10400</v>
      </c>
      <c r="K78" s="6" t="n">
        <v>67900</v>
      </c>
      <c r="L78" s="5" t="n">
        <v>0</v>
      </c>
      <c r="M78" s="5" t="s">
        <v>176</v>
      </c>
      <c r="N78" s="5" t="n">
        <v>2023</v>
      </c>
      <c r="O78" s="7" t="n">
        <v>1.9</v>
      </c>
      <c r="P78" s="5" t="s">
        <v>30</v>
      </c>
      <c r="Q78" s="5" t="s">
        <v>57</v>
      </c>
      <c r="R78" s="5" t="s">
        <v>32</v>
      </c>
      <c r="S78" s="5" t="n">
        <v>1</v>
      </c>
      <c r="T78" s="5" t="n">
        <v>1</v>
      </c>
    </row>
    <row r="79" customFormat="false" ht="15" hidden="false" customHeight="false" outlineLevel="0" collapsed="false">
      <c r="A79" s="8" t="s">
        <v>177</v>
      </c>
      <c r="B79" s="8" t="s">
        <v>178</v>
      </c>
      <c r="C79" s="8" t="s">
        <v>179</v>
      </c>
      <c r="D79" s="8" t="s">
        <v>180</v>
      </c>
      <c r="E79" s="8" t="s">
        <v>181</v>
      </c>
      <c r="F79" s="8" t="s">
        <v>34</v>
      </c>
      <c r="G79" s="8" t="s">
        <v>35</v>
      </c>
      <c r="H79" s="9" t="n">
        <v>43000</v>
      </c>
      <c r="I79" s="9" t="n">
        <v>2200</v>
      </c>
      <c r="J79" s="9" t="n">
        <v>7700</v>
      </c>
      <c r="K79" s="9" t="n">
        <v>52900</v>
      </c>
      <c r="L79" s="8" t="n">
        <v>5</v>
      </c>
      <c r="M79" s="8" t="s">
        <v>72</v>
      </c>
      <c r="N79" s="8" t="n">
        <v>2024</v>
      </c>
      <c r="O79" s="10" t="n">
        <v>0.5</v>
      </c>
      <c r="P79" s="8" t="s">
        <v>30</v>
      </c>
      <c r="Q79" s="8" t="s">
        <v>75</v>
      </c>
      <c r="R79" s="8" t="s">
        <v>40</v>
      </c>
      <c r="S79" s="8" t="n">
        <v>1</v>
      </c>
      <c r="T79" s="8" t="n">
        <v>1</v>
      </c>
    </row>
    <row r="80" customFormat="false" ht="15" hidden="false" customHeight="false" outlineLevel="0" collapsed="false">
      <c r="A80" s="5" t="s">
        <v>182</v>
      </c>
      <c r="B80" s="5" t="s">
        <v>178</v>
      </c>
      <c r="C80" s="5" t="s">
        <v>179</v>
      </c>
      <c r="D80" s="5" t="s">
        <v>180</v>
      </c>
      <c r="E80" s="5" t="s">
        <v>181</v>
      </c>
      <c r="F80" s="5" t="s">
        <v>34</v>
      </c>
      <c r="G80" s="5" t="s">
        <v>35</v>
      </c>
      <c r="H80" s="6" t="n">
        <v>47300</v>
      </c>
      <c r="I80" s="6" t="n">
        <v>2400</v>
      </c>
      <c r="J80" s="6" t="n">
        <v>8500</v>
      </c>
      <c r="K80" s="6" t="n">
        <v>58200</v>
      </c>
      <c r="L80" s="5" t="n">
        <v>5</v>
      </c>
      <c r="M80" s="5" t="s">
        <v>77</v>
      </c>
      <c r="N80" s="5" t="n">
        <v>2024</v>
      </c>
      <c r="O80" s="7" t="n">
        <v>0.8</v>
      </c>
      <c r="P80" s="5" t="s">
        <v>30</v>
      </c>
      <c r="Q80" s="5" t="s">
        <v>48</v>
      </c>
      <c r="R80" s="5" t="s">
        <v>49</v>
      </c>
      <c r="S80" s="5" t="n">
        <v>1</v>
      </c>
      <c r="T80" s="5" t="n">
        <v>1</v>
      </c>
    </row>
    <row r="81" customFormat="false" ht="15" hidden="false" customHeight="false" outlineLevel="0" collapsed="false">
      <c r="A81" s="8" t="s">
        <v>183</v>
      </c>
      <c r="B81" s="8" t="s">
        <v>178</v>
      </c>
      <c r="C81" s="8" t="s">
        <v>179</v>
      </c>
      <c r="D81" s="8" t="s">
        <v>180</v>
      </c>
      <c r="E81" s="8" t="s">
        <v>181</v>
      </c>
      <c r="F81" s="8" t="s">
        <v>34</v>
      </c>
      <c r="G81" s="8" t="s">
        <v>35</v>
      </c>
      <c r="H81" s="9" t="n">
        <v>45100</v>
      </c>
      <c r="I81" s="9" t="n">
        <v>2300</v>
      </c>
      <c r="J81" s="9" t="n">
        <v>8100</v>
      </c>
      <c r="K81" s="9" t="n">
        <v>55500</v>
      </c>
      <c r="L81" s="8" t="n">
        <v>5</v>
      </c>
      <c r="M81" s="8" t="s">
        <v>132</v>
      </c>
      <c r="N81" s="8" t="n">
        <v>2020</v>
      </c>
      <c r="O81" s="10" t="n">
        <v>4.3</v>
      </c>
      <c r="P81" s="8" t="s">
        <v>82</v>
      </c>
      <c r="Q81" s="8" t="s">
        <v>75</v>
      </c>
      <c r="R81" s="8" t="s">
        <v>49</v>
      </c>
      <c r="S81" s="8" t="n">
        <v>1</v>
      </c>
      <c r="T81" s="8" t="n">
        <v>0</v>
      </c>
    </row>
    <row r="82" customFormat="false" ht="15" hidden="false" customHeight="false" outlineLevel="0" collapsed="false">
      <c r="A82" s="5" t="s">
        <v>184</v>
      </c>
      <c r="B82" s="5" t="s">
        <v>178</v>
      </c>
      <c r="C82" s="5" t="s">
        <v>179</v>
      </c>
      <c r="D82" s="5" t="s">
        <v>180</v>
      </c>
      <c r="E82" s="5" t="s">
        <v>181</v>
      </c>
      <c r="F82" s="5" t="s">
        <v>93</v>
      </c>
      <c r="G82" s="5" t="s">
        <v>94</v>
      </c>
      <c r="H82" s="6" t="n">
        <v>87000</v>
      </c>
      <c r="I82" s="6" t="n">
        <v>13000</v>
      </c>
      <c r="J82" s="6" t="n">
        <v>15700</v>
      </c>
      <c r="K82" s="6" t="n">
        <v>115700</v>
      </c>
      <c r="L82" s="5" t="n">
        <v>15</v>
      </c>
      <c r="M82" s="5" t="s">
        <v>51</v>
      </c>
      <c r="N82" s="5" t="n">
        <v>2023</v>
      </c>
      <c r="O82" s="7" t="n">
        <v>1.3</v>
      </c>
      <c r="P82" s="5" t="s">
        <v>30</v>
      </c>
      <c r="Q82" s="5" t="s">
        <v>37</v>
      </c>
      <c r="R82" s="5" t="s">
        <v>49</v>
      </c>
      <c r="S82" s="5" t="n">
        <v>0</v>
      </c>
      <c r="T82" s="5" t="n">
        <v>1</v>
      </c>
    </row>
    <row r="83" customFormat="false" ht="15" hidden="false" customHeight="false" outlineLevel="0" collapsed="false">
      <c r="A83" s="8" t="s">
        <v>185</v>
      </c>
      <c r="B83" s="8" t="s">
        <v>178</v>
      </c>
      <c r="C83" s="8" t="s">
        <v>179</v>
      </c>
      <c r="D83" s="8" t="s">
        <v>180</v>
      </c>
      <c r="E83" s="8" t="s">
        <v>181</v>
      </c>
      <c r="F83" s="8" t="s">
        <v>42</v>
      </c>
      <c r="G83" s="8" t="s">
        <v>43</v>
      </c>
      <c r="H83" s="9" t="n">
        <v>61400</v>
      </c>
      <c r="I83" s="9" t="n">
        <v>4900</v>
      </c>
      <c r="J83" s="9" t="n">
        <v>11100</v>
      </c>
      <c r="K83" s="9" t="n">
        <v>77400</v>
      </c>
      <c r="L83" s="8" t="n">
        <v>8</v>
      </c>
      <c r="M83" s="8" t="s">
        <v>186</v>
      </c>
      <c r="N83" s="8" t="n">
        <v>2024</v>
      </c>
      <c r="O83" s="10" t="n">
        <v>0.8</v>
      </c>
      <c r="P83" s="8" t="s">
        <v>82</v>
      </c>
      <c r="Q83" s="8" t="s">
        <v>57</v>
      </c>
      <c r="R83" s="8" t="s">
        <v>40</v>
      </c>
      <c r="S83" s="8" t="n">
        <v>1</v>
      </c>
      <c r="T83" s="8" t="n">
        <v>0</v>
      </c>
    </row>
    <row r="84" customFormat="false" ht="15" hidden="false" customHeight="false" outlineLevel="0" collapsed="false">
      <c r="A84" s="5" t="s">
        <v>187</v>
      </c>
      <c r="B84" s="5" t="s">
        <v>178</v>
      </c>
      <c r="C84" s="5" t="s">
        <v>179</v>
      </c>
      <c r="D84" s="5" t="s">
        <v>180</v>
      </c>
      <c r="E84" s="5" t="s">
        <v>181</v>
      </c>
      <c r="F84" s="5" t="s">
        <v>79</v>
      </c>
      <c r="G84" s="5" t="s">
        <v>80</v>
      </c>
      <c r="H84" s="6" t="n">
        <v>77500</v>
      </c>
      <c r="I84" s="6" t="n">
        <v>9300</v>
      </c>
      <c r="J84" s="6" t="n">
        <v>14000</v>
      </c>
      <c r="K84" s="6" t="n">
        <v>100800</v>
      </c>
      <c r="L84" s="5" t="n">
        <v>12</v>
      </c>
      <c r="M84" s="5" t="s">
        <v>87</v>
      </c>
      <c r="N84" s="5" t="n">
        <v>2024</v>
      </c>
      <c r="O84" s="7" t="n">
        <v>0.1</v>
      </c>
      <c r="P84" s="5" t="s">
        <v>30</v>
      </c>
      <c r="Q84" s="5" t="s">
        <v>37</v>
      </c>
      <c r="R84" s="5" t="s">
        <v>49</v>
      </c>
      <c r="S84" s="5" t="n">
        <v>0</v>
      </c>
      <c r="T84" s="5" t="n">
        <v>1</v>
      </c>
    </row>
    <row r="85" customFormat="false" ht="15" hidden="false" customHeight="false" outlineLevel="0" collapsed="false">
      <c r="A85" s="8" t="s">
        <v>188</v>
      </c>
      <c r="B85" s="8" t="s">
        <v>178</v>
      </c>
      <c r="C85" s="8" t="s">
        <v>179</v>
      </c>
      <c r="D85" s="8" t="s">
        <v>180</v>
      </c>
      <c r="E85" s="8" t="s">
        <v>181</v>
      </c>
      <c r="F85" s="8" t="s">
        <v>42</v>
      </c>
      <c r="G85" s="8" t="s">
        <v>43</v>
      </c>
      <c r="H85" s="9" t="n">
        <v>67700</v>
      </c>
      <c r="I85" s="9" t="n">
        <v>5400</v>
      </c>
      <c r="J85" s="9" t="n">
        <v>12200</v>
      </c>
      <c r="K85" s="9" t="n">
        <v>85300</v>
      </c>
      <c r="L85" s="8" t="n">
        <v>8</v>
      </c>
      <c r="M85" s="8" t="s">
        <v>36</v>
      </c>
      <c r="N85" s="8" t="n">
        <v>2020</v>
      </c>
      <c r="O85" s="10" t="n">
        <v>4.8</v>
      </c>
      <c r="P85" s="8" t="s">
        <v>30</v>
      </c>
      <c r="Q85" s="8" t="s">
        <v>48</v>
      </c>
      <c r="R85" s="8" t="s">
        <v>40</v>
      </c>
      <c r="S85" s="8" t="n">
        <v>1</v>
      </c>
      <c r="T85" s="8" t="n">
        <v>1</v>
      </c>
    </row>
    <row r="86" customFormat="false" ht="15" hidden="false" customHeight="false" outlineLevel="0" collapsed="false">
      <c r="A86" s="5" t="s">
        <v>189</v>
      </c>
      <c r="B86" s="5" t="s">
        <v>178</v>
      </c>
      <c r="C86" s="5" t="s">
        <v>179</v>
      </c>
      <c r="D86" s="5" t="s">
        <v>180</v>
      </c>
      <c r="E86" s="5" t="s">
        <v>181</v>
      </c>
      <c r="F86" s="5" t="s">
        <v>42</v>
      </c>
      <c r="G86" s="5" t="s">
        <v>43</v>
      </c>
      <c r="H86" s="6" t="n">
        <v>60400</v>
      </c>
      <c r="I86" s="6" t="n">
        <v>4800</v>
      </c>
      <c r="J86" s="6" t="n">
        <v>10900</v>
      </c>
      <c r="K86" s="6" t="n">
        <v>76100</v>
      </c>
      <c r="L86" s="5" t="n">
        <v>8</v>
      </c>
      <c r="M86" s="5" t="s">
        <v>190</v>
      </c>
      <c r="N86" s="5" t="n">
        <v>2022</v>
      </c>
      <c r="O86" s="7" t="n">
        <v>2.2</v>
      </c>
      <c r="P86" s="5" t="s">
        <v>30</v>
      </c>
      <c r="Q86" s="5" t="s">
        <v>31</v>
      </c>
      <c r="R86" s="5" t="s">
        <v>49</v>
      </c>
      <c r="S86" s="5" t="n">
        <v>1</v>
      </c>
      <c r="T86" s="5" t="n">
        <v>1</v>
      </c>
    </row>
    <row r="87" customFormat="false" ht="15" hidden="false" customHeight="false" outlineLevel="0" collapsed="false">
      <c r="A87" s="8" t="s">
        <v>191</v>
      </c>
      <c r="B87" s="8" t="s">
        <v>178</v>
      </c>
      <c r="C87" s="8" t="s">
        <v>179</v>
      </c>
      <c r="D87" s="8" t="s">
        <v>180</v>
      </c>
      <c r="E87" s="8" t="s">
        <v>181</v>
      </c>
      <c r="F87" s="8" t="s">
        <v>42</v>
      </c>
      <c r="G87" s="8" t="s">
        <v>43</v>
      </c>
      <c r="H87" s="9" t="n">
        <v>67700</v>
      </c>
      <c r="I87" s="9" t="n">
        <v>5400</v>
      </c>
      <c r="J87" s="9" t="n">
        <v>12200</v>
      </c>
      <c r="K87" s="9" t="n">
        <v>85300</v>
      </c>
      <c r="L87" s="8" t="n">
        <v>8</v>
      </c>
      <c r="M87" s="8" t="s">
        <v>53</v>
      </c>
      <c r="N87" s="8" t="n">
        <v>2023</v>
      </c>
      <c r="O87" s="10" t="n">
        <v>1.2</v>
      </c>
      <c r="P87" s="8" t="s">
        <v>30</v>
      </c>
      <c r="Q87" s="8" t="s">
        <v>57</v>
      </c>
      <c r="R87" s="8" t="s">
        <v>49</v>
      </c>
      <c r="S87" s="8" t="n">
        <v>1</v>
      </c>
      <c r="T87" s="8" t="n">
        <v>1</v>
      </c>
    </row>
    <row r="88" customFormat="false" ht="15" hidden="false" customHeight="false" outlineLevel="0" collapsed="false">
      <c r="A88" s="5" t="s">
        <v>192</v>
      </c>
      <c r="B88" s="5" t="s">
        <v>178</v>
      </c>
      <c r="C88" s="5" t="s">
        <v>179</v>
      </c>
      <c r="D88" s="5" t="s">
        <v>180</v>
      </c>
      <c r="E88" s="5" t="s">
        <v>181</v>
      </c>
      <c r="F88" s="5" t="s">
        <v>93</v>
      </c>
      <c r="G88" s="5" t="s">
        <v>94</v>
      </c>
      <c r="H88" s="6" t="n">
        <v>102000</v>
      </c>
      <c r="I88" s="6" t="n">
        <v>15300</v>
      </c>
      <c r="J88" s="6" t="n">
        <v>18400</v>
      </c>
      <c r="K88" s="6" t="n">
        <v>135700</v>
      </c>
      <c r="L88" s="5" t="n">
        <v>15</v>
      </c>
      <c r="M88" s="5" t="s">
        <v>74</v>
      </c>
      <c r="N88" s="5" t="n">
        <v>2022</v>
      </c>
      <c r="O88" s="7" t="n">
        <v>2.6</v>
      </c>
      <c r="P88" s="5" t="s">
        <v>30</v>
      </c>
      <c r="Q88" s="5" t="s">
        <v>37</v>
      </c>
      <c r="R88" s="5" t="s">
        <v>32</v>
      </c>
      <c r="S88" s="5" t="n">
        <v>1</v>
      </c>
      <c r="T88" s="5" t="n">
        <v>1</v>
      </c>
    </row>
    <row r="89" customFormat="false" ht="15" hidden="false" customHeight="false" outlineLevel="0" collapsed="false">
      <c r="A89" s="8" t="s">
        <v>193</v>
      </c>
      <c r="B89" s="8" t="s">
        <v>178</v>
      </c>
      <c r="C89" s="8" t="s">
        <v>179</v>
      </c>
      <c r="D89" s="8" t="s">
        <v>180</v>
      </c>
      <c r="E89" s="8" t="s">
        <v>181</v>
      </c>
      <c r="F89" s="8" t="s">
        <v>93</v>
      </c>
      <c r="G89" s="8" t="s">
        <v>94</v>
      </c>
      <c r="H89" s="9" t="n">
        <v>99200</v>
      </c>
      <c r="I89" s="9" t="n">
        <v>14900</v>
      </c>
      <c r="J89" s="9" t="n">
        <v>17900</v>
      </c>
      <c r="K89" s="9" t="n">
        <v>132000</v>
      </c>
      <c r="L89" s="8" t="n">
        <v>15</v>
      </c>
      <c r="M89" s="8" t="s">
        <v>194</v>
      </c>
      <c r="N89" s="8" t="n">
        <v>2021</v>
      </c>
      <c r="O89" s="10" t="n">
        <v>3.6</v>
      </c>
      <c r="P89" s="8" t="s">
        <v>54</v>
      </c>
      <c r="Q89" s="8" t="s">
        <v>45</v>
      </c>
      <c r="R89" s="8" t="s">
        <v>40</v>
      </c>
      <c r="S89" s="8" t="n">
        <v>1</v>
      </c>
      <c r="T89" s="8" t="n">
        <v>1</v>
      </c>
    </row>
    <row r="90" customFormat="false" ht="15" hidden="false" customHeight="false" outlineLevel="0" collapsed="false">
      <c r="A90" s="5" t="s">
        <v>195</v>
      </c>
      <c r="B90" s="5" t="s">
        <v>178</v>
      </c>
      <c r="C90" s="5" t="s">
        <v>179</v>
      </c>
      <c r="D90" s="5" t="s">
        <v>180</v>
      </c>
      <c r="E90" s="5" t="s">
        <v>181</v>
      </c>
      <c r="F90" s="5" t="s">
        <v>79</v>
      </c>
      <c r="G90" s="5" t="s">
        <v>80</v>
      </c>
      <c r="H90" s="6" t="n">
        <v>71200</v>
      </c>
      <c r="I90" s="6" t="n">
        <v>8500</v>
      </c>
      <c r="J90" s="6" t="n">
        <v>12800</v>
      </c>
      <c r="K90" s="6" t="n">
        <v>92500</v>
      </c>
      <c r="L90" s="5" t="n">
        <v>12</v>
      </c>
      <c r="M90" s="5" t="s">
        <v>196</v>
      </c>
      <c r="N90" s="5" t="n">
        <v>2023</v>
      </c>
      <c r="O90" s="7" t="n">
        <v>1.1</v>
      </c>
      <c r="P90" s="5" t="s">
        <v>30</v>
      </c>
      <c r="Q90" s="5" t="s">
        <v>48</v>
      </c>
      <c r="R90" s="5" t="s">
        <v>40</v>
      </c>
      <c r="S90" s="5" t="n">
        <v>1</v>
      </c>
      <c r="T90" s="5" t="n">
        <v>1</v>
      </c>
    </row>
    <row r="91" customFormat="false" ht="15" hidden="false" customHeight="false" outlineLevel="0" collapsed="false">
      <c r="A91" s="8" t="s">
        <v>197</v>
      </c>
      <c r="B91" s="8" t="s">
        <v>178</v>
      </c>
      <c r="C91" s="8" t="s">
        <v>179</v>
      </c>
      <c r="D91" s="8" t="s">
        <v>180</v>
      </c>
      <c r="E91" s="8" t="s">
        <v>181</v>
      </c>
      <c r="F91" s="8" t="s">
        <v>79</v>
      </c>
      <c r="G91" s="8" t="s">
        <v>80</v>
      </c>
      <c r="H91" s="9" t="n">
        <v>72900</v>
      </c>
      <c r="I91" s="9" t="n">
        <v>8700</v>
      </c>
      <c r="J91" s="9" t="n">
        <v>13100</v>
      </c>
      <c r="K91" s="9" t="n">
        <v>94700</v>
      </c>
      <c r="L91" s="8" t="n">
        <v>12</v>
      </c>
      <c r="M91" s="8" t="s">
        <v>72</v>
      </c>
      <c r="N91" s="8" t="n">
        <v>2024</v>
      </c>
      <c r="O91" s="10" t="n">
        <v>0.5</v>
      </c>
      <c r="P91" s="8" t="s">
        <v>30</v>
      </c>
      <c r="Q91" s="8" t="s">
        <v>37</v>
      </c>
      <c r="R91" s="8" t="s">
        <v>40</v>
      </c>
      <c r="S91" s="8" t="n">
        <v>1</v>
      </c>
      <c r="T91" s="8" t="n">
        <v>1</v>
      </c>
    </row>
    <row r="92" customFormat="false" ht="15" hidden="false" customHeight="false" outlineLevel="0" collapsed="false">
      <c r="A92" s="5" t="s">
        <v>198</v>
      </c>
      <c r="B92" s="5" t="s">
        <v>178</v>
      </c>
      <c r="C92" s="5" t="s">
        <v>179</v>
      </c>
      <c r="D92" s="5" t="s">
        <v>180</v>
      </c>
      <c r="E92" s="5" t="s">
        <v>181</v>
      </c>
      <c r="F92" s="5" t="s">
        <v>42</v>
      </c>
      <c r="G92" s="5" t="s">
        <v>43</v>
      </c>
      <c r="H92" s="6" t="n">
        <v>65300</v>
      </c>
      <c r="I92" s="6" t="n">
        <v>5200</v>
      </c>
      <c r="J92" s="6" t="n">
        <v>11800</v>
      </c>
      <c r="K92" s="6" t="n">
        <v>82300</v>
      </c>
      <c r="L92" s="5" t="n">
        <v>8</v>
      </c>
      <c r="M92" s="5" t="s">
        <v>199</v>
      </c>
      <c r="N92" s="5" t="n">
        <v>2022</v>
      </c>
      <c r="O92" s="7" t="n">
        <v>2.3</v>
      </c>
      <c r="P92" s="5" t="s">
        <v>30</v>
      </c>
      <c r="Q92" s="5" t="s">
        <v>57</v>
      </c>
      <c r="R92" s="5" t="s">
        <v>40</v>
      </c>
      <c r="S92" s="5" t="n">
        <v>1</v>
      </c>
      <c r="T92" s="5" t="n">
        <v>1</v>
      </c>
    </row>
    <row r="93" customFormat="false" ht="15" hidden="false" customHeight="false" outlineLevel="0" collapsed="false">
      <c r="A93" s="8" t="s">
        <v>200</v>
      </c>
      <c r="B93" s="8" t="s">
        <v>178</v>
      </c>
      <c r="C93" s="8" t="s">
        <v>179</v>
      </c>
      <c r="D93" s="8" t="s">
        <v>180</v>
      </c>
      <c r="E93" s="8" t="s">
        <v>181</v>
      </c>
      <c r="F93" s="8" t="s">
        <v>64</v>
      </c>
      <c r="G93" s="8" t="s">
        <v>65</v>
      </c>
      <c r="H93" s="9" t="n">
        <v>128600</v>
      </c>
      <c r="I93" s="9" t="n">
        <v>25700</v>
      </c>
      <c r="J93" s="9" t="n">
        <v>23100</v>
      </c>
      <c r="K93" s="9" t="n">
        <v>177400</v>
      </c>
      <c r="L93" s="8" t="n">
        <v>20</v>
      </c>
      <c r="M93" s="8" t="s">
        <v>201</v>
      </c>
      <c r="N93" s="8" t="n">
        <v>2022</v>
      </c>
      <c r="O93" s="10" t="n">
        <v>2.8</v>
      </c>
      <c r="P93" s="8" t="s">
        <v>30</v>
      </c>
      <c r="Q93" s="8" t="s">
        <v>57</v>
      </c>
      <c r="R93" s="8" t="s">
        <v>32</v>
      </c>
      <c r="S93" s="8" t="n">
        <v>1</v>
      </c>
      <c r="T93" s="8" t="n">
        <v>1</v>
      </c>
    </row>
    <row r="94" customFormat="false" ht="15" hidden="false" customHeight="false" outlineLevel="0" collapsed="false">
      <c r="A94" s="5" t="s">
        <v>202</v>
      </c>
      <c r="B94" s="5" t="s">
        <v>178</v>
      </c>
      <c r="C94" s="5" t="s">
        <v>179</v>
      </c>
      <c r="D94" s="5" t="s">
        <v>180</v>
      </c>
      <c r="E94" s="5" t="s">
        <v>181</v>
      </c>
      <c r="F94" s="5" t="s">
        <v>27</v>
      </c>
      <c r="G94" s="5" t="s">
        <v>28</v>
      </c>
      <c r="H94" s="6" t="n">
        <v>38500</v>
      </c>
      <c r="I94" s="6" t="n">
        <v>0</v>
      </c>
      <c r="J94" s="6" t="n">
        <v>6900</v>
      </c>
      <c r="K94" s="6" t="n">
        <v>45400</v>
      </c>
      <c r="L94" s="5" t="n">
        <v>0</v>
      </c>
      <c r="M94" s="5" t="s">
        <v>203</v>
      </c>
      <c r="N94" s="5" t="n">
        <v>2022</v>
      </c>
      <c r="O94" s="7" t="n">
        <v>2.1</v>
      </c>
      <c r="P94" s="5" t="s">
        <v>30</v>
      </c>
      <c r="Q94" s="5" t="s">
        <v>48</v>
      </c>
      <c r="R94" s="5" t="s">
        <v>32</v>
      </c>
      <c r="S94" s="5" t="n">
        <v>1</v>
      </c>
      <c r="T94" s="5" t="n">
        <v>1</v>
      </c>
    </row>
    <row r="95" customFormat="false" ht="15" hidden="false" customHeight="false" outlineLevel="0" collapsed="false">
      <c r="A95" s="8" t="s">
        <v>204</v>
      </c>
      <c r="B95" s="8" t="s">
        <v>178</v>
      </c>
      <c r="C95" s="8" t="s">
        <v>179</v>
      </c>
      <c r="D95" s="8" t="s">
        <v>180</v>
      </c>
      <c r="E95" s="8" t="s">
        <v>181</v>
      </c>
      <c r="F95" s="8" t="s">
        <v>34</v>
      </c>
      <c r="G95" s="8" t="s">
        <v>35</v>
      </c>
      <c r="H95" s="9" t="n">
        <v>47800</v>
      </c>
      <c r="I95" s="9" t="n">
        <v>2400</v>
      </c>
      <c r="J95" s="9" t="n">
        <v>8600</v>
      </c>
      <c r="K95" s="9" t="n">
        <v>58800</v>
      </c>
      <c r="L95" s="8" t="n">
        <v>5</v>
      </c>
      <c r="M95" s="8" t="s">
        <v>194</v>
      </c>
      <c r="N95" s="8" t="n">
        <v>2021</v>
      </c>
      <c r="O95" s="10" t="n">
        <v>3.6</v>
      </c>
      <c r="P95" s="8" t="s">
        <v>30</v>
      </c>
      <c r="Q95" s="8" t="s">
        <v>45</v>
      </c>
      <c r="R95" s="8" t="s">
        <v>49</v>
      </c>
      <c r="S95" s="8" t="n">
        <v>1</v>
      </c>
      <c r="T95" s="8" t="n">
        <v>1</v>
      </c>
    </row>
    <row r="96" customFormat="false" ht="15" hidden="false" customHeight="false" outlineLevel="0" collapsed="false">
      <c r="A96" s="5" t="s">
        <v>205</v>
      </c>
      <c r="B96" s="5" t="s">
        <v>178</v>
      </c>
      <c r="C96" s="5" t="s">
        <v>179</v>
      </c>
      <c r="D96" s="5" t="s">
        <v>180</v>
      </c>
      <c r="E96" s="5" t="s">
        <v>181</v>
      </c>
      <c r="F96" s="5" t="s">
        <v>93</v>
      </c>
      <c r="G96" s="5" t="s">
        <v>94</v>
      </c>
      <c r="H96" s="6" t="n">
        <v>95900</v>
      </c>
      <c r="I96" s="6" t="n">
        <v>14400</v>
      </c>
      <c r="J96" s="6" t="n">
        <v>17300</v>
      </c>
      <c r="K96" s="6" t="n">
        <v>127600</v>
      </c>
      <c r="L96" s="5" t="n">
        <v>15</v>
      </c>
      <c r="M96" s="5" t="s">
        <v>196</v>
      </c>
      <c r="N96" s="5" t="n">
        <v>2023</v>
      </c>
      <c r="O96" s="7" t="n">
        <v>1.1</v>
      </c>
      <c r="P96" s="5" t="s">
        <v>30</v>
      </c>
      <c r="Q96" s="5" t="s">
        <v>75</v>
      </c>
      <c r="R96" s="5" t="s">
        <v>40</v>
      </c>
      <c r="S96" s="5" t="n">
        <v>1</v>
      </c>
      <c r="T96" s="5" t="n">
        <v>1</v>
      </c>
    </row>
    <row r="97" customFormat="false" ht="15" hidden="false" customHeight="false" outlineLevel="0" collapsed="false">
      <c r="A97" s="8" t="s">
        <v>206</v>
      </c>
      <c r="B97" s="8" t="s">
        <v>178</v>
      </c>
      <c r="C97" s="8" t="s">
        <v>179</v>
      </c>
      <c r="D97" s="8" t="s">
        <v>180</v>
      </c>
      <c r="E97" s="8" t="s">
        <v>181</v>
      </c>
      <c r="F97" s="8" t="s">
        <v>34</v>
      </c>
      <c r="G97" s="8" t="s">
        <v>35</v>
      </c>
      <c r="H97" s="9" t="n">
        <v>45400</v>
      </c>
      <c r="I97" s="9" t="n">
        <v>2300</v>
      </c>
      <c r="J97" s="9" t="n">
        <v>8200</v>
      </c>
      <c r="K97" s="9" t="n">
        <v>55900</v>
      </c>
      <c r="L97" s="8" t="n">
        <v>5</v>
      </c>
      <c r="M97" s="8" t="s">
        <v>207</v>
      </c>
      <c r="N97" s="8" t="n">
        <v>2024</v>
      </c>
      <c r="O97" s="10" t="n">
        <v>0.4</v>
      </c>
      <c r="P97" s="8" t="s">
        <v>30</v>
      </c>
      <c r="Q97" s="8" t="s">
        <v>75</v>
      </c>
      <c r="R97" s="8" t="s">
        <v>40</v>
      </c>
      <c r="S97" s="8" t="n">
        <v>1</v>
      </c>
      <c r="T97" s="8" t="n">
        <v>1</v>
      </c>
    </row>
    <row r="98" customFormat="false" ht="15" hidden="false" customHeight="false" outlineLevel="0" collapsed="false">
      <c r="A98" s="5" t="s">
        <v>208</v>
      </c>
      <c r="B98" s="5" t="s">
        <v>178</v>
      </c>
      <c r="C98" s="5" t="s">
        <v>179</v>
      </c>
      <c r="D98" s="5" t="s">
        <v>180</v>
      </c>
      <c r="E98" s="5" t="s">
        <v>181</v>
      </c>
      <c r="F98" s="5" t="s">
        <v>42</v>
      </c>
      <c r="G98" s="5" t="s">
        <v>43</v>
      </c>
      <c r="H98" s="6" t="n">
        <v>57400</v>
      </c>
      <c r="I98" s="6" t="n">
        <v>4600</v>
      </c>
      <c r="J98" s="6" t="n">
        <v>10300</v>
      </c>
      <c r="K98" s="6" t="n">
        <v>72300</v>
      </c>
      <c r="L98" s="5" t="n">
        <v>8</v>
      </c>
      <c r="M98" s="5" t="s">
        <v>151</v>
      </c>
      <c r="N98" s="5" t="n">
        <v>2021</v>
      </c>
      <c r="O98" s="7" t="n">
        <v>3.3</v>
      </c>
      <c r="P98" s="5" t="s">
        <v>30</v>
      </c>
      <c r="Q98" s="5" t="s">
        <v>75</v>
      </c>
      <c r="R98" s="5" t="s">
        <v>40</v>
      </c>
      <c r="S98" s="5" t="n">
        <v>1</v>
      </c>
      <c r="T98" s="5" t="n">
        <v>1</v>
      </c>
    </row>
    <row r="99" customFormat="false" ht="15" hidden="false" customHeight="false" outlineLevel="0" collapsed="false">
      <c r="A99" s="8" t="s">
        <v>209</v>
      </c>
      <c r="B99" s="8" t="s">
        <v>178</v>
      </c>
      <c r="C99" s="8" t="s">
        <v>179</v>
      </c>
      <c r="D99" s="8" t="s">
        <v>180</v>
      </c>
      <c r="E99" s="8" t="s">
        <v>181</v>
      </c>
      <c r="F99" s="8" t="s">
        <v>79</v>
      </c>
      <c r="G99" s="8" t="s">
        <v>80</v>
      </c>
      <c r="H99" s="9" t="n">
        <v>72200</v>
      </c>
      <c r="I99" s="9" t="n">
        <v>8700</v>
      </c>
      <c r="J99" s="9" t="n">
        <v>13000</v>
      </c>
      <c r="K99" s="9" t="n">
        <v>93900</v>
      </c>
      <c r="L99" s="8" t="n">
        <v>12</v>
      </c>
      <c r="M99" s="8" t="s">
        <v>132</v>
      </c>
      <c r="N99" s="8" t="n">
        <v>2020</v>
      </c>
      <c r="O99" s="10" t="n">
        <v>4.3</v>
      </c>
      <c r="P99" s="8" t="s">
        <v>30</v>
      </c>
      <c r="Q99" s="8" t="s">
        <v>37</v>
      </c>
      <c r="R99" s="8" t="s">
        <v>32</v>
      </c>
      <c r="S99" s="8" t="n">
        <v>1</v>
      </c>
      <c r="T99" s="8" t="n">
        <v>1</v>
      </c>
    </row>
    <row r="100" customFormat="false" ht="15" hidden="false" customHeight="false" outlineLevel="0" collapsed="false">
      <c r="A100" s="5" t="s">
        <v>210</v>
      </c>
      <c r="B100" s="5" t="s">
        <v>178</v>
      </c>
      <c r="C100" s="5" t="s">
        <v>179</v>
      </c>
      <c r="D100" s="5" t="s">
        <v>180</v>
      </c>
      <c r="E100" s="5" t="s">
        <v>181</v>
      </c>
      <c r="F100" s="5" t="s">
        <v>34</v>
      </c>
      <c r="G100" s="5" t="s">
        <v>35</v>
      </c>
      <c r="H100" s="6" t="n">
        <v>45900</v>
      </c>
      <c r="I100" s="6" t="n">
        <v>2300</v>
      </c>
      <c r="J100" s="6" t="n">
        <v>8300</v>
      </c>
      <c r="K100" s="6" t="n">
        <v>56500</v>
      </c>
      <c r="L100" s="5" t="n">
        <v>5</v>
      </c>
      <c r="M100" s="5" t="s">
        <v>36</v>
      </c>
      <c r="N100" s="5" t="n">
        <v>2020</v>
      </c>
      <c r="O100" s="7" t="n">
        <v>4.8</v>
      </c>
      <c r="P100" s="5" t="s">
        <v>30</v>
      </c>
      <c r="Q100" s="5" t="s">
        <v>45</v>
      </c>
      <c r="R100" s="5" t="s">
        <v>32</v>
      </c>
      <c r="S100" s="5" t="n">
        <v>1</v>
      </c>
      <c r="T100" s="5" t="n">
        <v>1</v>
      </c>
    </row>
    <row r="101" customFormat="false" ht="15" hidden="false" customHeight="false" outlineLevel="0" collapsed="false">
      <c r="A101" s="8" t="s">
        <v>211</v>
      </c>
      <c r="B101" s="8" t="s">
        <v>178</v>
      </c>
      <c r="C101" s="8" t="s">
        <v>179</v>
      </c>
      <c r="D101" s="8" t="s">
        <v>180</v>
      </c>
      <c r="E101" s="8" t="s">
        <v>181</v>
      </c>
      <c r="F101" s="8" t="s">
        <v>79</v>
      </c>
      <c r="G101" s="8" t="s">
        <v>80</v>
      </c>
      <c r="H101" s="9" t="n">
        <v>72200</v>
      </c>
      <c r="I101" s="9" t="n">
        <v>8700</v>
      </c>
      <c r="J101" s="9" t="n">
        <v>13000</v>
      </c>
      <c r="K101" s="9" t="n">
        <v>93900</v>
      </c>
      <c r="L101" s="8" t="n">
        <v>12</v>
      </c>
      <c r="M101" s="8" t="s">
        <v>144</v>
      </c>
      <c r="N101" s="8" t="n">
        <v>2019</v>
      </c>
      <c r="O101" s="10" t="n">
        <v>5.6</v>
      </c>
      <c r="P101" s="8" t="s">
        <v>82</v>
      </c>
      <c r="Q101" s="8" t="s">
        <v>57</v>
      </c>
      <c r="R101" s="8" t="s">
        <v>40</v>
      </c>
      <c r="S101" s="8" t="n">
        <v>1</v>
      </c>
      <c r="T101" s="8" t="n">
        <v>0</v>
      </c>
    </row>
    <row r="102" customFormat="false" ht="15" hidden="false" customHeight="false" outlineLevel="0" collapsed="false">
      <c r="A102" s="5" t="s">
        <v>212</v>
      </c>
      <c r="B102" s="5" t="s">
        <v>178</v>
      </c>
      <c r="C102" s="5" t="s">
        <v>179</v>
      </c>
      <c r="D102" s="5" t="s">
        <v>180</v>
      </c>
      <c r="E102" s="5" t="s">
        <v>181</v>
      </c>
      <c r="F102" s="5" t="s">
        <v>27</v>
      </c>
      <c r="G102" s="5" t="s">
        <v>28</v>
      </c>
      <c r="H102" s="6" t="n">
        <v>36100</v>
      </c>
      <c r="I102" s="6" t="n">
        <v>0</v>
      </c>
      <c r="J102" s="6" t="n">
        <v>6500</v>
      </c>
      <c r="K102" s="6" t="n">
        <v>42600</v>
      </c>
      <c r="L102" s="5" t="n">
        <v>0</v>
      </c>
      <c r="M102" s="5" t="s">
        <v>165</v>
      </c>
      <c r="N102" s="5" t="n">
        <v>2020</v>
      </c>
      <c r="O102" s="7" t="n">
        <v>4.8</v>
      </c>
      <c r="P102" s="5" t="s">
        <v>30</v>
      </c>
      <c r="Q102" s="5" t="s">
        <v>31</v>
      </c>
      <c r="R102" s="5" t="s">
        <v>32</v>
      </c>
      <c r="S102" s="5" t="n">
        <v>1</v>
      </c>
      <c r="T102" s="5" t="n">
        <v>1</v>
      </c>
    </row>
    <row r="103" customFormat="false" ht="15" hidden="false" customHeight="false" outlineLevel="0" collapsed="false">
      <c r="A103" s="8" t="s">
        <v>213</v>
      </c>
      <c r="B103" s="8" t="s">
        <v>178</v>
      </c>
      <c r="C103" s="8" t="s">
        <v>179</v>
      </c>
      <c r="D103" s="8" t="s">
        <v>180</v>
      </c>
      <c r="E103" s="8" t="s">
        <v>181</v>
      </c>
      <c r="F103" s="8" t="s">
        <v>42</v>
      </c>
      <c r="G103" s="8" t="s">
        <v>43</v>
      </c>
      <c r="H103" s="9" t="n">
        <v>61300</v>
      </c>
      <c r="I103" s="9" t="n">
        <v>4900</v>
      </c>
      <c r="J103" s="9" t="n">
        <v>11000</v>
      </c>
      <c r="K103" s="9" t="n">
        <v>77200</v>
      </c>
      <c r="L103" s="8" t="n">
        <v>8</v>
      </c>
      <c r="M103" s="8" t="s">
        <v>72</v>
      </c>
      <c r="N103" s="8" t="n">
        <v>2024</v>
      </c>
      <c r="O103" s="10" t="n">
        <v>0.5</v>
      </c>
      <c r="P103" s="8" t="s">
        <v>54</v>
      </c>
      <c r="Q103" s="8" t="s">
        <v>75</v>
      </c>
      <c r="R103" s="8" t="s">
        <v>40</v>
      </c>
      <c r="S103" s="8" t="n">
        <v>1</v>
      </c>
      <c r="T103" s="8" t="n">
        <v>1</v>
      </c>
    </row>
    <row r="104" customFormat="false" ht="15" hidden="false" customHeight="false" outlineLevel="0" collapsed="false">
      <c r="A104" s="5" t="s">
        <v>214</v>
      </c>
      <c r="B104" s="5" t="s">
        <v>178</v>
      </c>
      <c r="C104" s="5" t="s">
        <v>179</v>
      </c>
      <c r="D104" s="5" t="s">
        <v>180</v>
      </c>
      <c r="E104" s="5" t="s">
        <v>181</v>
      </c>
      <c r="F104" s="5" t="s">
        <v>27</v>
      </c>
      <c r="G104" s="5" t="s">
        <v>28</v>
      </c>
      <c r="H104" s="6" t="n">
        <v>37500</v>
      </c>
      <c r="I104" s="6" t="n">
        <v>0</v>
      </c>
      <c r="J104" s="6" t="n">
        <v>6800</v>
      </c>
      <c r="K104" s="6" t="n">
        <v>44300</v>
      </c>
      <c r="L104" s="5" t="n">
        <v>0</v>
      </c>
      <c r="M104" s="5" t="s">
        <v>81</v>
      </c>
      <c r="N104" s="5" t="n">
        <v>2023</v>
      </c>
      <c r="O104" s="7" t="n">
        <v>1.5</v>
      </c>
      <c r="P104" s="5" t="s">
        <v>30</v>
      </c>
      <c r="Q104" s="5" t="s">
        <v>75</v>
      </c>
      <c r="R104" s="5" t="s">
        <v>32</v>
      </c>
      <c r="S104" s="5" t="n">
        <v>1</v>
      </c>
      <c r="T104" s="5" t="n">
        <v>1</v>
      </c>
    </row>
    <row r="105" customFormat="false" ht="15" hidden="false" customHeight="false" outlineLevel="0" collapsed="false">
      <c r="A105" s="8" t="s">
        <v>215</v>
      </c>
      <c r="B105" s="8" t="s">
        <v>178</v>
      </c>
      <c r="C105" s="8" t="s">
        <v>179</v>
      </c>
      <c r="D105" s="8" t="s">
        <v>180</v>
      </c>
      <c r="E105" s="8" t="s">
        <v>181</v>
      </c>
      <c r="F105" s="8" t="s">
        <v>27</v>
      </c>
      <c r="G105" s="8" t="s">
        <v>28</v>
      </c>
      <c r="H105" s="9" t="n">
        <v>39800</v>
      </c>
      <c r="I105" s="9" t="n">
        <v>0</v>
      </c>
      <c r="J105" s="9" t="n">
        <v>7200</v>
      </c>
      <c r="K105" s="9" t="n">
        <v>47000</v>
      </c>
      <c r="L105" s="8" t="n">
        <v>0</v>
      </c>
      <c r="M105" s="8" t="s">
        <v>147</v>
      </c>
      <c r="N105" s="8" t="n">
        <v>2019</v>
      </c>
      <c r="O105" s="10" t="n">
        <v>6</v>
      </c>
      <c r="P105" s="8" t="s">
        <v>54</v>
      </c>
      <c r="Q105" s="8" t="s">
        <v>57</v>
      </c>
      <c r="R105" s="8" t="s">
        <v>49</v>
      </c>
      <c r="S105" s="8" t="n">
        <v>1</v>
      </c>
      <c r="T105" s="8" t="n">
        <v>1</v>
      </c>
    </row>
    <row r="106" customFormat="false" ht="15" hidden="false" customHeight="false" outlineLevel="0" collapsed="false">
      <c r="A106" s="5" t="s">
        <v>216</v>
      </c>
      <c r="B106" s="5" t="s">
        <v>178</v>
      </c>
      <c r="C106" s="5" t="s">
        <v>179</v>
      </c>
      <c r="D106" s="5" t="s">
        <v>180</v>
      </c>
      <c r="E106" s="5" t="s">
        <v>181</v>
      </c>
      <c r="F106" s="5" t="s">
        <v>79</v>
      </c>
      <c r="G106" s="5" t="s">
        <v>80</v>
      </c>
      <c r="H106" s="6" t="n">
        <v>82700</v>
      </c>
      <c r="I106" s="6" t="n">
        <v>9900</v>
      </c>
      <c r="J106" s="6" t="n">
        <v>14900</v>
      </c>
      <c r="K106" s="6" t="n">
        <v>107500</v>
      </c>
      <c r="L106" s="5" t="n">
        <v>12</v>
      </c>
      <c r="M106" s="5" t="s">
        <v>217</v>
      </c>
      <c r="N106" s="5" t="n">
        <v>2021</v>
      </c>
      <c r="O106" s="7" t="n">
        <v>3.1</v>
      </c>
      <c r="P106" s="5" t="s">
        <v>30</v>
      </c>
      <c r="Q106" s="5" t="s">
        <v>45</v>
      </c>
      <c r="R106" s="5" t="s">
        <v>32</v>
      </c>
      <c r="S106" s="5" t="n">
        <v>1</v>
      </c>
      <c r="T106" s="5" t="n">
        <v>1</v>
      </c>
    </row>
    <row r="107" customFormat="false" ht="15" hidden="false" customHeight="false" outlineLevel="0" collapsed="false">
      <c r="A107" s="8" t="s">
        <v>218</v>
      </c>
      <c r="B107" s="8" t="s">
        <v>178</v>
      </c>
      <c r="C107" s="8" t="s">
        <v>179</v>
      </c>
      <c r="D107" s="8" t="s">
        <v>180</v>
      </c>
      <c r="E107" s="8" t="s">
        <v>181</v>
      </c>
      <c r="F107" s="8" t="s">
        <v>34</v>
      </c>
      <c r="G107" s="8" t="s">
        <v>35</v>
      </c>
      <c r="H107" s="9" t="n">
        <v>46200</v>
      </c>
      <c r="I107" s="9" t="n">
        <v>2300</v>
      </c>
      <c r="J107" s="9" t="n">
        <v>8300</v>
      </c>
      <c r="K107" s="9" t="n">
        <v>56800</v>
      </c>
      <c r="L107" s="8" t="n">
        <v>5</v>
      </c>
      <c r="M107" s="8" t="s">
        <v>39</v>
      </c>
      <c r="N107" s="8" t="n">
        <v>2019</v>
      </c>
      <c r="O107" s="10" t="n">
        <v>5.3</v>
      </c>
      <c r="P107" s="8" t="s">
        <v>54</v>
      </c>
      <c r="Q107" s="8" t="s">
        <v>45</v>
      </c>
      <c r="R107" s="8" t="s">
        <v>40</v>
      </c>
      <c r="S107" s="8" t="n">
        <v>1</v>
      </c>
      <c r="T107" s="8" t="n">
        <v>1</v>
      </c>
    </row>
    <row r="108" customFormat="false" ht="15" hidden="false" customHeight="false" outlineLevel="0" collapsed="false">
      <c r="A108" s="5" t="s">
        <v>219</v>
      </c>
      <c r="B108" s="5" t="s">
        <v>178</v>
      </c>
      <c r="C108" s="5" t="s">
        <v>179</v>
      </c>
      <c r="D108" s="5" t="s">
        <v>180</v>
      </c>
      <c r="E108" s="5" t="s">
        <v>181</v>
      </c>
      <c r="F108" s="5" t="s">
        <v>79</v>
      </c>
      <c r="G108" s="5" t="s">
        <v>80</v>
      </c>
      <c r="H108" s="6" t="n">
        <v>78900</v>
      </c>
      <c r="I108" s="6" t="n">
        <v>9500</v>
      </c>
      <c r="J108" s="6" t="n">
        <v>14200</v>
      </c>
      <c r="K108" s="6" t="n">
        <v>102600</v>
      </c>
      <c r="L108" s="5" t="n">
        <v>12</v>
      </c>
      <c r="M108" s="5" t="s">
        <v>117</v>
      </c>
      <c r="N108" s="5" t="n">
        <v>2021</v>
      </c>
      <c r="O108" s="7" t="n">
        <v>3.8</v>
      </c>
      <c r="P108" s="5" t="s">
        <v>30</v>
      </c>
      <c r="Q108" s="5" t="s">
        <v>57</v>
      </c>
      <c r="R108" s="5" t="s">
        <v>32</v>
      </c>
      <c r="S108" s="5" t="n">
        <v>1</v>
      </c>
      <c r="T108" s="5" t="n">
        <v>1</v>
      </c>
    </row>
    <row r="109" customFormat="false" ht="15" hidden="false" customHeight="false" outlineLevel="0" collapsed="false">
      <c r="A109" s="8" t="s">
        <v>220</v>
      </c>
      <c r="B109" s="8" t="s">
        <v>178</v>
      </c>
      <c r="C109" s="8" t="s">
        <v>179</v>
      </c>
      <c r="D109" s="8" t="s">
        <v>180</v>
      </c>
      <c r="E109" s="8" t="s">
        <v>181</v>
      </c>
      <c r="F109" s="8" t="s">
        <v>42</v>
      </c>
      <c r="G109" s="8" t="s">
        <v>43</v>
      </c>
      <c r="H109" s="9" t="n">
        <v>61300</v>
      </c>
      <c r="I109" s="9" t="n">
        <v>4900</v>
      </c>
      <c r="J109" s="9" t="n">
        <v>11000</v>
      </c>
      <c r="K109" s="9" t="n">
        <v>77200</v>
      </c>
      <c r="L109" s="8" t="n">
        <v>8</v>
      </c>
      <c r="M109" s="8" t="s">
        <v>154</v>
      </c>
      <c r="N109" s="8" t="n">
        <v>2021</v>
      </c>
      <c r="O109" s="10" t="n">
        <v>3.5</v>
      </c>
      <c r="P109" s="8" t="s">
        <v>30</v>
      </c>
      <c r="Q109" s="8" t="s">
        <v>31</v>
      </c>
      <c r="R109" s="8" t="s">
        <v>32</v>
      </c>
      <c r="S109" s="8" t="n">
        <v>0</v>
      </c>
      <c r="T109" s="8" t="n">
        <v>1</v>
      </c>
    </row>
    <row r="110" customFormat="false" ht="15" hidden="false" customHeight="false" outlineLevel="0" collapsed="false">
      <c r="A110" s="5" t="s">
        <v>221</v>
      </c>
      <c r="B110" s="5" t="s">
        <v>178</v>
      </c>
      <c r="C110" s="5" t="s">
        <v>179</v>
      </c>
      <c r="D110" s="5" t="s">
        <v>180</v>
      </c>
      <c r="E110" s="5" t="s">
        <v>181</v>
      </c>
      <c r="F110" s="5" t="s">
        <v>64</v>
      </c>
      <c r="G110" s="5" t="s">
        <v>65</v>
      </c>
      <c r="H110" s="6" t="n">
        <v>138800</v>
      </c>
      <c r="I110" s="6" t="n">
        <v>27800</v>
      </c>
      <c r="J110" s="6" t="n">
        <v>25000</v>
      </c>
      <c r="K110" s="6" t="n">
        <v>191600</v>
      </c>
      <c r="L110" s="5" t="n">
        <v>20</v>
      </c>
      <c r="M110" s="5" t="s">
        <v>91</v>
      </c>
      <c r="N110" s="5" t="n">
        <v>2023</v>
      </c>
      <c r="O110" s="7" t="n">
        <v>1.6</v>
      </c>
      <c r="P110" s="5" t="s">
        <v>30</v>
      </c>
      <c r="Q110" s="5" t="s">
        <v>37</v>
      </c>
      <c r="R110" s="5" t="s">
        <v>49</v>
      </c>
      <c r="S110" s="5" t="n">
        <v>1</v>
      </c>
      <c r="T110" s="5" t="n">
        <v>1</v>
      </c>
    </row>
    <row r="111" customFormat="false" ht="15" hidden="false" customHeight="false" outlineLevel="0" collapsed="false">
      <c r="A111" s="8" t="s">
        <v>222</v>
      </c>
      <c r="B111" s="8" t="s">
        <v>178</v>
      </c>
      <c r="C111" s="8" t="s">
        <v>179</v>
      </c>
      <c r="D111" s="8" t="s">
        <v>180</v>
      </c>
      <c r="E111" s="8" t="s">
        <v>181</v>
      </c>
      <c r="F111" s="8" t="s">
        <v>34</v>
      </c>
      <c r="G111" s="8" t="s">
        <v>35</v>
      </c>
      <c r="H111" s="9" t="n">
        <v>48400</v>
      </c>
      <c r="I111" s="9" t="n">
        <v>2400</v>
      </c>
      <c r="J111" s="9" t="n">
        <v>8700</v>
      </c>
      <c r="K111" s="9" t="n">
        <v>59500</v>
      </c>
      <c r="L111" s="8" t="n">
        <v>5</v>
      </c>
      <c r="M111" s="8" t="s">
        <v>56</v>
      </c>
      <c r="N111" s="8" t="n">
        <v>2020</v>
      </c>
      <c r="O111" s="10" t="n">
        <v>4.1</v>
      </c>
      <c r="P111" s="8" t="s">
        <v>30</v>
      </c>
      <c r="Q111" s="8" t="s">
        <v>37</v>
      </c>
      <c r="R111" s="8" t="s">
        <v>32</v>
      </c>
      <c r="S111" s="8" t="n">
        <v>1</v>
      </c>
      <c r="T111" s="8" t="n">
        <v>1</v>
      </c>
    </row>
    <row r="112" customFormat="false" ht="15" hidden="false" customHeight="false" outlineLevel="0" collapsed="false">
      <c r="A112" s="5" t="s">
        <v>223</v>
      </c>
      <c r="B112" s="5" t="s">
        <v>178</v>
      </c>
      <c r="C112" s="5" t="s">
        <v>179</v>
      </c>
      <c r="D112" s="5" t="s">
        <v>180</v>
      </c>
      <c r="E112" s="5" t="s">
        <v>181</v>
      </c>
      <c r="F112" s="5" t="s">
        <v>34</v>
      </c>
      <c r="G112" s="5" t="s">
        <v>35</v>
      </c>
      <c r="H112" s="6" t="n">
        <v>43500</v>
      </c>
      <c r="I112" s="6" t="n">
        <v>2200</v>
      </c>
      <c r="J112" s="6" t="n">
        <v>7800</v>
      </c>
      <c r="K112" s="6" t="n">
        <v>53500</v>
      </c>
      <c r="L112" s="5" t="n">
        <v>5</v>
      </c>
      <c r="M112" s="5" t="s">
        <v>117</v>
      </c>
      <c r="N112" s="5" t="n">
        <v>2021</v>
      </c>
      <c r="O112" s="7" t="n">
        <v>3.8</v>
      </c>
      <c r="P112" s="5" t="s">
        <v>82</v>
      </c>
      <c r="Q112" s="5" t="s">
        <v>45</v>
      </c>
      <c r="R112" s="5" t="s">
        <v>32</v>
      </c>
      <c r="S112" s="5" t="n">
        <v>1</v>
      </c>
      <c r="T112" s="5" t="n">
        <v>0</v>
      </c>
    </row>
    <row r="113" customFormat="false" ht="15" hidden="false" customHeight="false" outlineLevel="0" collapsed="false">
      <c r="A113" s="8" t="s">
        <v>224</v>
      </c>
      <c r="B113" s="8" t="s">
        <v>178</v>
      </c>
      <c r="C113" s="8" t="s">
        <v>179</v>
      </c>
      <c r="D113" s="8" t="s">
        <v>180</v>
      </c>
      <c r="E113" s="8" t="s">
        <v>181</v>
      </c>
      <c r="F113" s="8" t="s">
        <v>64</v>
      </c>
      <c r="G113" s="8" t="s">
        <v>65</v>
      </c>
      <c r="H113" s="9" t="n">
        <v>130600</v>
      </c>
      <c r="I113" s="9" t="n">
        <v>26100</v>
      </c>
      <c r="J113" s="9" t="n">
        <v>23500</v>
      </c>
      <c r="K113" s="9" t="n">
        <v>180200</v>
      </c>
      <c r="L113" s="8" t="n">
        <v>20</v>
      </c>
      <c r="M113" s="8" t="s">
        <v>176</v>
      </c>
      <c r="N113" s="8" t="n">
        <v>2023</v>
      </c>
      <c r="O113" s="10" t="n">
        <v>1.9</v>
      </c>
      <c r="P113" s="8" t="s">
        <v>30</v>
      </c>
      <c r="Q113" s="8" t="s">
        <v>57</v>
      </c>
      <c r="R113" s="8" t="s">
        <v>40</v>
      </c>
      <c r="S113" s="8" t="n">
        <v>0</v>
      </c>
      <c r="T113" s="8" t="n">
        <v>1</v>
      </c>
    </row>
    <row r="114" customFormat="false" ht="15" hidden="false" customHeight="false" outlineLevel="0" collapsed="false">
      <c r="A114" s="5" t="s">
        <v>225</v>
      </c>
      <c r="B114" s="5" t="s">
        <v>226</v>
      </c>
      <c r="C114" s="5" t="s">
        <v>227</v>
      </c>
      <c r="D114" s="5" t="s">
        <v>180</v>
      </c>
      <c r="E114" s="5" t="s">
        <v>181</v>
      </c>
      <c r="F114" s="5" t="s">
        <v>34</v>
      </c>
      <c r="G114" s="5" t="s">
        <v>35</v>
      </c>
      <c r="H114" s="6" t="n">
        <v>49800</v>
      </c>
      <c r="I114" s="6" t="n">
        <v>2500</v>
      </c>
      <c r="J114" s="6" t="n">
        <v>9000</v>
      </c>
      <c r="K114" s="6" t="n">
        <v>61300</v>
      </c>
      <c r="L114" s="5" t="n">
        <v>5</v>
      </c>
      <c r="M114" s="5" t="s">
        <v>99</v>
      </c>
      <c r="N114" s="5" t="n">
        <v>2020</v>
      </c>
      <c r="O114" s="7" t="n">
        <v>4.7</v>
      </c>
      <c r="P114" s="5" t="s">
        <v>30</v>
      </c>
      <c r="Q114" s="5" t="s">
        <v>45</v>
      </c>
      <c r="R114" s="5" t="s">
        <v>40</v>
      </c>
      <c r="S114" s="5" t="n">
        <v>1</v>
      </c>
      <c r="T114" s="5" t="n">
        <v>1</v>
      </c>
    </row>
    <row r="115" customFormat="false" ht="15" hidden="false" customHeight="false" outlineLevel="0" collapsed="false">
      <c r="A115" s="8" t="s">
        <v>228</v>
      </c>
      <c r="B115" s="8" t="s">
        <v>226</v>
      </c>
      <c r="C115" s="8" t="s">
        <v>227</v>
      </c>
      <c r="D115" s="8" t="s">
        <v>180</v>
      </c>
      <c r="E115" s="8" t="s">
        <v>181</v>
      </c>
      <c r="F115" s="8" t="s">
        <v>42</v>
      </c>
      <c r="G115" s="8" t="s">
        <v>43</v>
      </c>
      <c r="H115" s="9" t="n">
        <v>67600</v>
      </c>
      <c r="I115" s="9" t="n">
        <v>5400</v>
      </c>
      <c r="J115" s="9" t="n">
        <v>12200</v>
      </c>
      <c r="K115" s="9" t="n">
        <v>85200</v>
      </c>
      <c r="L115" s="8" t="n">
        <v>8</v>
      </c>
      <c r="M115" s="8" t="s">
        <v>99</v>
      </c>
      <c r="N115" s="8" t="n">
        <v>2020</v>
      </c>
      <c r="O115" s="10" t="n">
        <v>4.7</v>
      </c>
      <c r="P115" s="8" t="s">
        <v>30</v>
      </c>
      <c r="Q115" s="8" t="s">
        <v>37</v>
      </c>
      <c r="R115" s="8" t="s">
        <v>49</v>
      </c>
      <c r="S115" s="8" t="n">
        <v>1</v>
      </c>
      <c r="T115" s="8" t="n">
        <v>1</v>
      </c>
    </row>
    <row r="116" customFormat="false" ht="15" hidden="false" customHeight="false" outlineLevel="0" collapsed="false">
      <c r="A116" s="5" t="s">
        <v>229</v>
      </c>
      <c r="B116" s="5" t="s">
        <v>226</v>
      </c>
      <c r="C116" s="5" t="s">
        <v>227</v>
      </c>
      <c r="D116" s="5" t="s">
        <v>180</v>
      </c>
      <c r="E116" s="5" t="s">
        <v>181</v>
      </c>
      <c r="F116" s="5" t="s">
        <v>93</v>
      </c>
      <c r="G116" s="5" t="s">
        <v>94</v>
      </c>
      <c r="H116" s="6" t="n">
        <v>111500</v>
      </c>
      <c r="I116" s="6" t="n">
        <v>16700</v>
      </c>
      <c r="J116" s="6" t="n">
        <v>20100</v>
      </c>
      <c r="K116" s="6" t="n">
        <v>148300</v>
      </c>
      <c r="L116" s="5" t="n">
        <v>15</v>
      </c>
      <c r="M116" s="5" t="s">
        <v>230</v>
      </c>
      <c r="N116" s="5" t="n">
        <v>2020</v>
      </c>
      <c r="O116" s="7" t="n">
        <v>4.2</v>
      </c>
      <c r="P116" s="5" t="s">
        <v>54</v>
      </c>
      <c r="Q116" s="5" t="s">
        <v>31</v>
      </c>
      <c r="R116" s="5" t="s">
        <v>40</v>
      </c>
      <c r="S116" s="5" t="n">
        <v>1</v>
      </c>
      <c r="T116" s="5" t="n">
        <v>1</v>
      </c>
    </row>
    <row r="117" customFormat="false" ht="15" hidden="false" customHeight="false" outlineLevel="0" collapsed="false">
      <c r="A117" s="8" t="s">
        <v>231</v>
      </c>
      <c r="B117" s="8" t="s">
        <v>226</v>
      </c>
      <c r="C117" s="8" t="s">
        <v>227</v>
      </c>
      <c r="D117" s="8" t="s">
        <v>180</v>
      </c>
      <c r="E117" s="8" t="s">
        <v>181</v>
      </c>
      <c r="F117" s="8" t="s">
        <v>34</v>
      </c>
      <c r="G117" s="8" t="s">
        <v>35</v>
      </c>
      <c r="H117" s="9" t="n">
        <v>50600</v>
      </c>
      <c r="I117" s="9" t="n">
        <v>2500</v>
      </c>
      <c r="J117" s="9" t="n">
        <v>9100</v>
      </c>
      <c r="K117" s="9" t="n">
        <v>62200</v>
      </c>
      <c r="L117" s="8" t="n">
        <v>5</v>
      </c>
      <c r="M117" s="8" t="s">
        <v>232</v>
      </c>
      <c r="N117" s="8" t="n">
        <v>2020</v>
      </c>
      <c r="O117" s="10" t="n">
        <v>4.6</v>
      </c>
      <c r="P117" s="8" t="s">
        <v>30</v>
      </c>
      <c r="Q117" s="8" t="s">
        <v>31</v>
      </c>
      <c r="R117" s="8" t="s">
        <v>40</v>
      </c>
      <c r="S117" s="8" t="n">
        <v>1</v>
      </c>
      <c r="T117" s="8" t="n">
        <v>1</v>
      </c>
    </row>
    <row r="118" customFormat="false" ht="15" hidden="false" customHeight="false" outlineLevel="0" collapsed="false">
      <c r="A118" s="5" t="s">
        <v>233</v>
      </c>
      <c r="B118" s="5" t="s">
        <v>226</v>
      </c>
      <c r="C118" s="5" t="s">
        <v>227</v>
      </c>
      <c r="D118" s="5" t="s">
        <v>180</v>
      </c>
      <c r="E118" s="5" t="s">
        <v>181</v>
      </c>
      <c r="F118" s="5" t="s">
        <v>34</v>
      </c>
      <c r="G118" s="5" t="s">
        <v>35</v>
      </c>
      <c r="H118" s="6" t="n">
        <v>45800</v>
      </c>
      <c r="I118" s="6" t="n">
        <v>2300</v>
      </c>
      <c r="J118" s="6" t="n">
        <v>8200</v>
      </c>
      <c r="K118" s="6" t="n">
        <v>56300</v>
      </c>
      <c r="L118" s="5" t="n">
        <v>5</v>
      </c>
      <c r="M118" s="5" t="s">
        <v>85</v>
      </c>
      <c r="N118" s="5" t="n">
        <v>2022</v>
      </c>
      <c r="O118" s="7" t="n">
        <v>2.5</v>
      </c>
      <c r="P118" s="5" t="s">
        <v>30</v>
      </c>
      <c r="Q118" s="5" t="s">
        <v>31</v>
      </c>
      <c r="R118" s="5" t="s">
        <v>49</v>
      </c>
      <c r="S118" s="5" t="n">
        <v>1</v>
      </c>
      <c r="T118" s="5" t="n">
        <v>1</v>
      </c>
    </row>
    <row r="119" customFormat="false" ht="15" hidden="false" customHeight="false" outlineLevel="0" collapsed="false">
      <c r="A119" s="8" t="s">
        <v>234</v>
      </c>
      <c r="B119" s="8" t="s">
        <v>226</v>
      </c>
      <c r="C119" s="8" t="s">
        <v>227</v>
      </c>
      <c r="D119" s="8" t="s">
        <v>180</v>
      </c>
      <c r="E119" s="8" t="s">
        <v>181</v>
      </c>
      <c r="F119" s="8" t="s">
        <v>42</v>
      </c>
      <c r="G119" s="8" t="s">
        <v>43</v>
      </c>
      <c r="H119" s="9" t="n">
        <v>62700</v>
      </c>
      <c r="I119" s="9" t="n">
        <v>5000</v>
      </c>
      <c r="J119" s="9" t="n">
        <v>11300</v>
      </c>
      <c r="K119" s="9" t="n">
        <v>79000</v>
      </c>
      <c r="L119" s="8" t="n">
        <v>8</v>
      </c>
      <c r="M119" s="8" t="s">
        <v>235</v>
      </c>
      <c r="N119" s="8" t="n">
        <v>2019</v>
      </c>
      <c r="O119" s="10" t="n">
        <v>5.5</v>
      </c>
      <c r="P119" s="8" t="s">
        <v>30</v>
      </c>
      <c r="Q119" s="8" t="s">
        <v>45</v>
      </c>
      <c r="R119" s="8" t="s">
        <v>32</v>
      </c>
      <c r="S119" s="8" t="n">
        <v>1</v>
      </c>
      <c r="T119" s="8" t="n">
        <v>1</v>
      </c>
    </row>
    <row r="120" customFormat="false" ht="15" hidden="false" customHeight="false" outlineLevel="0" collapsed="false">
      <c r="A120" s="5" t="s">
        <v>236</v>
      </c>
      <c r="B120" s="5" t="s">
        <v>226</v>
      </c>
      <c r="C120" s="5" t="s">
        <v>227</v>
      </c>
      <c r="D120" s="5" t="s">
        <v>180</v>
      </c>
      <c r="E120" s="5" t="s">
        <v>181</v>
      </c>
      <c r="F120" s="5" t="s">
        <v>79</v>
      </c>
      <c r="G120" s="5" t="s">
        <v>80</v>
      </c>
      <c r="H120" s="6" t="n">
        <v>84600</v>
      </c>
      <c r="I120" s="6" t="n">
        <v>10200</v>
      </c>
      <c r="J120" s="6" t="n">
        <v>15200</v>
      </c>
      <c r="K120" s="6" t="n">
        <v>110000</v>
      </c>
      <c r="L120" s="5" t="n">
        <v>12</v>
      </c>
      <c r="M120" s="5" t="s">
        <v>72</v>
      </c>
      <c r="N120" s="5" t="n">
        <v>2024</v>
      </c>
      <c r="O120" s="7" t="n">
        <v>0.5</v>
      </c>
      <c r="P120" s="5" t="s">
        <v>30</v>
      </c>
      <c r="Q120" s="5" t="s">
        <v>37</v>
      </c>
      <c r="R120" s="5" t="s">
        <v>32</v>
      </c>
      <c r="S120" s="5" t="n">
        <v>1</v>
      </c>
      <c r="T120" s="5" t="n">
        <v>1</v>
      </c>
    </row>
    <row r="121" customFormat="false" ht="15" hidden="false" customHeight="false" outlineLevel="0" collapsed="false">
      <c r="A121" s="8" t="s">
        <v>237</v>
      </c>
      <c r="B121" s="8" t="s">
        <v>226</v>
      </c>
      <c r="C121" s="8" t="s">
        <v>227</v>
      </c>
      <c r="D121" s="8" t="s">
        <v>180</v>
      </c>
      <c r="E121" s="8" t="s">
        <v>181</v>
      </c>
      <c r="F121" s="8" t="s">
        <v>42</v>
      </c>
      <c r="G121" s="8" t="s">
        <v>43</v>
      </c>
      <c r="H121" s="9" t="n">
        <v>67400</v>
      </c>
      <c r="I121" s="9" t="n">
        <v>5400</v>
      </c>
      <c r="J121" s="9" t="n">
        <v>12100</v>
      </c>
      <c r="K121" s="9" t="n">
        <v>84900</v>
      </c>
      <c r="L121" s="8" t="n">
        <v>8</v>
      </c>
      <c r="M121" s="8" t="s">
        <v>101</v>
      </c>
      <c r="N121" s="8" t="n">
        <v>2023</v>
      </c>
      <c r="O121" s="10" t="n">
        <v>1.8</v>
      </c>
      <c r="P121" s="8" t="s">
        <v>30</v>
      </c>
      <c r="Q121" s="8" t="s">
        <v>45</v>
      </c>
      <c r="R121" s="8" t="s">
        <v>32</v>
      </c>
      <c r="S121" s="8" t="n">
        <v>1</v>
      </c>
      <c r="T121" s="8" t="n">
        <v>1</v>
      </c>
    </row>
    <row r="122" customFormat="false" ht="15" hidden="false" customHeight="false" outlineLevel="0" collapsed="false">
      <c r="A122" s="5" t="s">
        <v>238</v>
      </c>
      <c r="B122" s="5" t="s">
        <v>226</v>
      </c>
      <c r="C122" s="5" t="s">
        <v>227</v>
      </c>
      <c r="D122" s="5" t="s">
        <v>180</v>
      </c>
      <c r="E122" s="5" t="s">
        <v>181</v>
      </c>
      <c r="F122" s="5" t="s">
        <v>79</v>
      </c>
      <c r="G122" s="5" t="s">
        <v>80</v>
      </c>
      <c r="H122" s="6" t="n">
        <v>83300</v>
      </c>
      <c r="I122" s="6" t="n">
        <v>10000</v>
      </c>
      <c r="J122" s="6" t="n">
        <v>15000</v>
      </c>
      <c r="K122" s="6" t="n">
        <v>108300</v>
      </c>
      <c r="L122" s="5" t="n">
        <v>12</v>
      </c>
      <c r="M122" s="5" t="s">
        <v>239</v>
      </c>
      <c r="N122" s="5" t="n">
        <v>2024</v>
      </c>
      <c r="O122" s="7" t="n">
        <v>0.2</v>
      </c>
      <c r="P122" s="5" t="s">
        <v>30</v>
      </c>
      <c r="Q122" s="5" t="s">
        <v>45</v>
      </c>
      <c r="R122" s="5" t="s">
        <v>49</v>
      </c>
      <c r="S122" s="5" t="n">
        <v>1</v>
      </c>
      <c r="T122" s="5" t="n">
        <v>1</v>
      </c>
    </row>
    <row r="123" customFormat="false" ht="15" hidden="false" customHeight="false" outlineLevel="0" collapsed="false">
      <c r="A123" s="8" t="s">
        <v>240</v>
      </c>
      <c r="B123" s="8" t="s">
        <v>226</v>
      </c>
      <c r="C123" s="8" t="s">
        <v>227</v>
      </c>
      <c r="D123" s="8" t="s">
        <v>180</v>
      </c>
      <c r="E123" s="8" t="s">
        <v>181</v>
      </c>
      <c r="F123" s="8" t="s">
        <v>42</v>
      </c>
      <c r="G123" s="8" t="s">
        <v>43</v>
      </c>
      <c r="H123" s="9" t="n">
        <v>69300</v>
      </c>
      <c r="I123" s="9" t="n">
        <v>5500</v>
      </c>
      <c r="J123" s="9" t="n">
        <v>12500</v>
      </c>
      <c r="K123" s="9" t="n">
        <v>87300</v>
      </c>
      <c r="L123" s="8" t="n">
        <v>8</v>
      </c>
      <c r="M123" s="8" t="s">
        <v>135</v>
      </c>
      <c r="N123" s="8" t="n">
        <v>2019</v>
      </c>
      <c r="O123" s="10" t="n">
        <v>5.7</v>
      </c>
      <c r="P123" s="8" t="s">
        <v>30</v>
      </c>
      <c r="Q123" s="8" t="s">
        <v>75</v>
      </c>
      <c r="R123" s="8" t="s">
        <v>40</v>
      </c>
      <c r="S123" s="8" t="n">
        <v>1</v>
      </c>
      <c r="T123" s="8" t="n">
        <v>1</v>
      </c>
    </row>
    <row r="124" customFormat="false" ht="15" hidden="false" customHeight="false" outlineLevel="0" collapsed="false">
      <c r="A124" s="5" t="s">
        <v>241</v>
      </c>
      <c r="B124" s="5" t="s">
        <v>226</v>
      </c>
      <c r="C124" s="5" t="s">
        <v>227</v>
      </c>
      <c r="D124" s="5" t="s">
        <v>180</v>
      </c>
      <c r="E124" s="5" t="s">
        <v>181</v>
      </c>
      <c r="F124" s="5" t="s">
        <v>79</v>
      </c>
      <c r="G124" s="5" t="s">
        <v>80</v>
      </c>
      <c r="H124" s="6" t="n">
        <v>90200</v>
      </c>
      <c r="I124" s="6" t="n">
        <v>10800</v>
      </c>
      <c r="J124" s="6" t="n">
        <v>16200</v>
      </c>
      <c r="K124" s="6" t="n">
        <v>117200</v>
      </c>
      <c r="L124" s="5" t="n">
        <v>12</v>
      </c>
      <c r="M124" s="5" t="s">
        <v>201</v>
      </c>
      <c r="N124" s="5" t="n">
        <v>2022</v>
      </c>
      <c r="O124" s="7" t="n">
        <v>2.8</v>
      </c>
      <c r="P124" s="5" t="s">
        <v>82</v>
      </c>
      <c r="Q124" s="5" t="s">
        <v>75</v>
      </c>
      <c r="R124" s="5" t="s">
        <v>40</v>
      </c>
      <c r="S124" s="5" t="n">
        <v>1</v>
      </c>
      <c r="T124" s="5" t="n">
        <v>0</v>
      </c>
    </row>
    <row r="125" customFormat="false" ht="15" hidden="false" customHeight="false" outlineLevel="0" collapsed="false">
      <c r="A125" s="8" t="s">
        <v>242</v>
      </c>
      <c r="B125" s="8" t="s">
        <v>226</v>
      </c>
      <c r="C125" s="8" t="s">
        <v>227</v>
      </c>
      <c r="D125" s="8" t="s">
        <v>180</v>
      </c>
      <c r="E125" s="8" t="s">
        <v>181</v>
      </c>
      <c r="F125" s="8" t="s">
        <v>42</v>
      </c>
      <c r="G125" s="8" t="s">
        <v>43</v>
      </c>
      <c r="H125" s="9" t="n">
        <v>68900</v>
      </c>
      <c r="I125" s="9" t="n">
        <v>5500</v>
      </c>
      <c r="J125" s="9" t="n">
        <v>12400</v>
      </c>
      <c r="K125" s="9" t="n">
        <v>86800</v>
      </c>
      <c r="L125" s="8" t="n">
        <v>8</v>
      </c>
      <c r="M125" s="8" t="s">
        <v>135</v>
      </c>
      <c r="N125" s="8" t="n">
        <v>2019</v>
      </c>
      <c r="O125" s="10" t="n">
        <v>5.7</v>
      </c>
      <c r="P125" s="8" t="s">
        <v>30</v>
      </c>
      <c r="Q125" s="8" t="s">
        <v>37</v>
      </c>
      <c r="R125" s="8" t="s">
        <v>32</v>
      </c>
      <c r="S125" s="8" t="n">
        <v>1</v>
      </c>
      <c r="T125" s="8" t="n">
        <v>1</v>
      </c>
    </row>
    <row r="126" customFormat="false" ht="15" hidden="false" customHeight="false" outlineLevel="0" collapsed="false">
      <c r="A126" s="5" t="s">
        <v>243</v>
      </c>
      <c r="B126" s="5" t="s">
        <v>226</v>
      </c>
      <c r="C126" s="5" t="s">
        <v>227</v>
      </c>
      <c r="D126" s="5" t="s">
        <v>180</v>
      </c>
      <c r="E126" s="5" t="s">
        <v>181</v>
      </c>
      <c r="F126" s="5" t="s">
        <v>64</v>
      </c>
      <c r="G126" s="5" t="s">
        <v>65</v>
      </c>
      <c r="H126" s="6" t="n">
        <v>140200</v>
      </c>
      <c r="I126" s="6" t="n">
        <v>28000</v>
      </c>
      <c r="J126" s="6" t="n">
        <v>25200</v>
      </c>
      <c r="K126" s="6" t="n">
        <v>193400</v>
      </c>
      <c r="L126" s="5" t="n">
        <v>20</v>
      </c>
      <c r="M126" s="5" t="s">
        <v>119</v>
      </c>
      <c r="N126" s="5" t="n">
        <v>2020</v>
      </c>
      <c r="O126" s="7" t="n">
        <v>5</v>
      </c>
      <c r="P126" s="5" t="s">
        <v>30</v>
      </c>
      <c r="Q126" s="5" t="s">
        <v>57</v>
      </c>
      <c r="R126" s="5" t="s">
        <v>49</v>
      </c>
      <c r="S126" s="5" t="n">
        <v>1</v>
      </c>
      <c r="T126" s="5" t="n">
        <v>1</v>
      </c>
    </row>
    <row r="127" customFormat="false" ht="15" hidden="false" customHeight="false" outlineLevel="0" collapsed="false">
      <c r="A127" s="8" t="s">
        <v>244</v>
      </c>
      <c r="B127" s="8" t="s">
        <v>226</v>
      </c>
      <c r="C127" s="8" t="s">
        <v>227</v>
      </c>
      <c r="D127" s="8" t="s">
        <v>180</v>
      </c>
      <c r="E127" s="8" t="s">
        <v>181</v>
      </c>
      <c r="F127" s="8" t="s">
        <v>42</v>
      </c>
      <c r="G127" s="8" t="s">
        <v>43</v>
      </c>
      <c r="H127" s="9" t="n">
        <v>62000</v>
      </c>
      <c r="I127" s="9" t="n">
        <v>5000</v>
      </c>
      <c r="J127" s="9" t="n">
        <v>11200</v>
      </c>
      <c r="K127" s="9" t="n">
        <v>78200</v>
      </c>
      <c r="L127" s="8" t="n">
        <v>8</v>
      </c>
      <c r="M127" s="8" t="s">
        <v>151</v>
      </c>
      <c r="N127" s="8" t="n">
        <v>2021</v>
      </c>
      <c r="O127" s="10" t="n">
        <v>3.3</v>
      </c>
      <c r="P127" s="8" t="s">
        <v>30</v>
      </c>
      <c r="Q127" s="8" t="s">
        <v>57</v>
      </c>
      <c r="R127" s="8" t="s">
        <v>49</v>
      </c>
      <c r="S127" s="8" t="n">
        <v>1</v>
      </c>
      <c r="T127" s="8" t="n">
        <v>1</v>
      </c>
    </row>
    <row r="128" customFormat="false" ht="15" hidden="false" customHeight="false" outlineLevel="0" collapsed="false">
      <c r="A128" s="5" t="s">
        <v>245</v>
      </c>
      <c r="B128" s="5" t="s">
        <v>226</v>
      </c>
      <c r="C128" s="5" t="s">
        <v>227</v>
      </c>
      <c r="D128" s="5" t="s">
        <v>180</v>
      </c>
      <c r="E128" s="5" t="s">
        <v>181</v>
      </c>
      <c r="F128" s="5" t="s">
        <v>79</v>
      </c>
      <c r="G128" s="5" t="s">
        <v>80</v>
      </c>
      <c r="H128" s="6" t="n">
        <v>85500</v>
      </c>
      <c r="I128" s="6" t="n">
        <v>10300</v>
      </c>
      <c r="J128" s="6" t="n">
        <v>15400</v>
      </c>
      <c r="K128" s="6" t="n">
        <v>111200</v>
      </c>
      <c r="L128" s="5" t="n">
        <v>12</v>
      </c>
      <c r="M128" s="5" t="s">
        <v>99</v>
      </c>
      <c r="N128" s="5" t="n">
        <v>2020</v>
      </c>
      <c r="O128" s="7" t="n">
        <v>4.7</v>
      </c>
      <c r="P128" s="5" t="s">
        <v>30</v>
      </c>
      <c r="Q128" s="5" t="s">
        <v>45</v>
      </c>
      <c r="R128" s="5" t="s">
        <v>32</v>
      </c>
      <c r="S128" s="5" t="n">
        <v>1</v>
      </c>
      <c r="T128" s="5" t="n">
        <v>1</v>
      </c>
    </row>
    <row r="129" customFormat="false" ht="15" hidden="false" customHeight="false" outlineLevel="0" collapsed="false">
      <c r="A129" s="8" t="s">
        <v>246</v>
      </c>
      <c r="B129" s="8" t="s">
        <v>226</v>
      </c>
      <c r="C129" s="8" t="s">
        <v>227</v>
      </c>
      <c r="D129" s="8" t="s">
        <v>180</v>
      </c>
      <c r="E129" s="8" t="s">
        <v>181</v>
      </c>
      <c r="F129" s="8" t="s">
        <v>79</v>
      </c>
      <c r="G129" s="8" t="s">
        <v>80</v>
      </c>
      <c r="H129" s="9" t="n">
        <v>89000</v>
      </c>
      <c r="I129" s="9" t="n">
        <v>10700</v>
      </c>
      <c r="J129" s="9" t="n">
        <v>16000</v>
      </c>
      <c r="K129" s="9" t="n">
        <v>115700</v>
      </c>
      <c r="L129" s="8" t="n">
        <v>12</v>
      </c>
      <c r="M129" s="8" t="s">
        <v>59</v>
      </c>
      <c r="N129" s="8" t="n">
        <v>2019</v>
      </c>
      <c r="O129" s="10" t="n">
        <v>5.1</v>
      </c>
      <c r="P129" s="8" t="s">
        <v>54</v>
      </c>
      <c r="Q129" s="8" t="s">
        <v>57</v>
      </c>
      <c r="R129" s="8" t="s">
        <v>32</v>
      </c>
      <c r="S129" s="8" t="n">
        <v>1</v>
      </c>
      <c r="T129" s="8" t="n">
        <v>1</v>
      </c>
    </row>
    <row r="130" customFormat="false" ht="15" hidden="false" customHeight="false" outlineLevel="0" collapsed="false">
      <c r="A130" s="5" t="s">
        <v>247</v>
      </c>
      <c r="B130" s="5" t="s">
        <v>226</v>
      </c>
      <c r="C130" s="5" t="s">
        <v>227</v>
      </c>
      <c r="D130" s="5" t="s">
        <v>180</v>
      </c>
      <c r="E130" s="5" t="s">
        <v>181</v>
      </c>
      <c r="F130" s="5" t="s">
        <v>34</v>
      </c>
      <c r="G130" s="5" t="s">
        <v>35</v>
      </c>
      <c r="H130" s="6" t="n">
        <v>53500</v>
      </c>
      <c r="I130" s="6" t="n">
        <v>2700</v>
      </c>
      <c r="J130" s="6" t="n">
        <v>9600</v>
      </c>
      <c r="K130" s="6" t="n">
        <v>65800</v>
      </c>
      <c r="L130" s="5" t="n">
        <v>5</v>
      </c>
      <c r="M130" s="5" t="s">
        <v>248</v>
      </c>
      <c r="N130" s="5" t="n">
        <v>2024</v>
      </c>
      <c r="O130" s="7" t="n">
        <v>0.7</v>
      </c>
      <c r="P130" s="5" t="s">
        <v>30</v>
      </c>
      <c r="Q130" s="5" t="s">
        <v>37</v>
      </c>
      <c r="R130" s="5" t="s">
        <v>49</v>
      </c>
      <c r="S130" s="5" t="n">
        <v>1</v>
      </c>
      <c r="T130" s="5" t="n">
        <v>1</v>
      </c>
    </row>
    <row r="131" customFormat="false" ht="15" hidden="false" customHeight="false" outlineLevel="0" collapsed="false">
      <c r="A131" s="8" t="s">
        <v>249</v>
      </c>
      <c r="B131" s="8" t="s">
        <v>226</v>
      </c>
      <c r="C131" s="8" t="s">
        <v>227</v>
      </c>
      <c r="D131" s="8" t="s">
        <v>180</v>
      </c>
      <c r="E131" s="8" t="s">
        <v>181</v>
      </c>
      <c r="F131" s="8" t="s">
        <v>27</v>
      </c>
      <c r="G131" s="8" t="s">
        <v>28</v>
      </c>
      <c r="H131" s="9" t="n">
        <v>43400</v>
      </c>
      <c r="I131" s="9" t="n">
        <v>0</v>
      </c>
      <c r="J131" s="9" t="n">
        <v>7800</v>
      </c>
      <c r="K131" s="9" t="n">
        <v>51200</v>
      </c>
      <c r="L131" s="8" t="n">
        <v>0</v>
      </c>
      <c r="M131" s="8" t="s">
        <v>121</v>
      </c>
      <c r="N131" s="8" t="n">
        <v>2021</v>
      </c>
      <c r="O131" s="10" t="n">
        <v>3.4</v>
      </c>
      <c r="P131" s="8" t="s">
        <v>54</v>
      </c>
      <c r="Q131" s="8" t="s">
        <v>57</v>
      </c>
      <c r="R131" s="8" t="s">
        <v>40</v>
      </c>
      <c r="S131" s="8" t="n">
        <v>1</v>
      </c>
      <c r="T131" s="8" t="n">
        <v>1</v>
      </c>
    </row>
    <row r="132" customFormat="false" ht="15" hidden="false" customHeight="false" outlineLevel="0" collapsed="false">
      <c r="A132" s="5" t="s">
        <v>250</v>
      </c>
      <c r="B132" s="5" t="s">
        <v>226</v>
      </c>
      <c r="C132" s="5" t="s">
        <v>227</v>
      </c>
      <c r="D132" s="5" t="s">
        <v>180</v>
      </c>
      <c r="E132" s="5" t="s">
        <v>181</v>
      </c>
      <c r="F132" s="5" t="s">
        <v>34</v>
      </c>
      <c r="G132" s="5" t="s">
        <v>35</v>
      </c>
      <c r="H132" s="6" t="n">
        <v>50600</v>
      </c>
      <c r="I132" s="6" t="n">
        <v>2500</v>
      </c>
      <c r="J132" s="6" t="n">
        <v>9100</v>
      </c>
      <c r="K132" s="6" t="n">
        <v>62200</v>
      </c>
      <c r="L132" s="5" t="n">
        <v>5</v>
      </c>
      <c r="M132" s="5" t="s">
        <v>56</v>
      </c>
      <c r="N132" s="5" t="n">
        <v>2020</v>
      </c>
      <c r="O132" s="7" t="n">
        <v>4.1</v>
      </c>
      <c r="P132" s="5" t="s">
        <v>54</v>
      </c>
      <c r="Q132" s="5" t="s">
        <v>45</v>
      </c>
      <c r="R132" s="5" t="s">
        <v>49</v>
      </c>
      <c r="S132" s="5" t="n">
        <v>1</v>
      </c>
      <c r="T132" s="5" t="n">
        <v>1</v>
      </c>
    </row>
    <row r="133" customFormat="false" ht="15" hidden="false" customHeight="false" outlineLevel="0" collapsed="false">
      <c r="A133" s="8" t="s">
        <v>251</v>
      </c>
      <c r="B133" s="8" t="s">
        <v>226</v>
      </c>
      <c r="C133" s="8" t="s">
        <v>227</v>
      </c>
      <c r="D133" s="8" t="s">
        <v>180</v>
      </c>
      <c r="E133" s="8" t="s">
        <v>181</v>
      </c>
      <c r="F133" s="8" t="s">
        <v>79</v>
      </c>
      <c r="G133" s="8" t="s">
        <v>80</v>
      </c>
      <c r="H133" s="9" t="n">
        <v>81100</v>
      </c>
      <c r="I133" s="9" t="n">
        <v>9700</v>
      </c>
      <c r="J133" s="9" t="n">
        <v>14600</v>
      </c>
      <c r="K133" s="9" t="n">
        <v>105400</v>
      </c>
      <c r="L133" s="8" t="n">
        <v>12</v>
      </c>
      <c r="M133" s="8" t="s">
        <v>99</v>
      </c>
      <c r="N133" s="8" t="n">
        <v>2020</v>
      </c>
      <c r="O133" s="10" t="n">
        <v>4.7</v>
      </c>
      <c r="P133" s="8" t="s">
        <v>30</v>
      </c>
      <c r="Q133" s="8" t="s">
        <v>57</v>
      </c>
      <c r="R133" s="8" t="s">
        <v>49</v>
      </c>
      <c r="S133" s="8" t="n">
        <v>1</v>
      </c>
      <c r="T133" s="8" t="n">
        <v>1</v>
      </c>
    </row>
    <row r="134" customFormat="false" ht="15" hidden="false" customHeight="false" outlineLevel="0" collapsed="false">
      <c r="A134" s="5" t="s">
        <v>252</v>
      </c>
      <c r="B134" s="5" t="s">
        <v>253</v>
      </c>
      <c r="C134" s="5" t="s">
        <v>254</v>
      </c>
      <c r="D134" s="5" t="s">
        <v>180</v>
      </c>
      <c r="E134" s="5" t="s">
        <v>181</v>
      </c>
      <c r="F134" s="5" t="s">
        <v>42</v>
      </c>
      <c r="G134" s="5" t="s">
        <v>43</v>
      </c>
      <c r="H134" s="6" t="n">
        <v>52200</v>
      </c>
      <c r="I134" s="6" t="n">
        <v>4200</v>
      </c>
      <c r="J134" s="6" t="n">
        <v>9400</v>
      </c>
      <c r="K134" s="6" t="n">
        <v>65800</v>
      </c>
      <c r="L134" s="5" t="n">
        <v>8</v>
      </c>
      <c r="M134" s="5" t="s">
        <v>171</v>
      </c>
      <c r="N134" s="5" t="n">
        <v>2020</v>
      </c>
      <c r="O134" s="7" t="n">
        <v>4.4</v>
      </c>
      <c r="P134" s="5" t="s">
        <v>30</v>
      </c>
      <c r="Q134" s="5" t="s">
        <v>75</v>
      </c>
      <c r="R134" s="5" t="s">
        <v>49</v>
      </c>
      <c r="S134" s="5" t="n">
        <v>1</v>
      </c>
      <c r="T134" s="5" t="n">
        <v>1</v>
      </c>
    </row>
    <row r="135" customFormat="false" ht="15" hidden="false" customHeight="false" outlineLevel="0" collapsed="false">
      <c r="A135" s="8" t="s">
        <v>255</v>
      </c>
      <c r="B135" s="8" t="s">
        <v>253</v>
      </c>
      <c r="C135" s="8" t="s">
        <v>254</v>
      </c>
      <c r="D135" s="8" t="s">
        <v>180</v>
      </c>
      <c r="E135" s="8" t="s">
        <v>181</v>
      </c>
      <c r="F135" s="8" t="s">
        <v>64</v>
      </c>
      <c r="G135" s="8" t="s">
        <v>65</v>
      </c>
      <c r="H135" s="9" t="n">
        <v>116300</v>
      </c>
      <c r="I135" s="9" t="n">
        <v>23300</v>
      </c>
      <c r="J135" s="9" t="n">
        <v>20900</v>
      </c>
      <c r="K135" s="9" t="n">
        <v>160500</v>
      </c>
      <c r="L135" s="8" t="n">
        <v>20</v>
      </c>
      <c r="M135" s="8" t="s">
        <v>239</v>
      </c>
      <c r="N135" s="8" t="n">
        <v>2024</v>
      </c>
      <c r="O135" s="10" t="n">
        <v>0.2</v>
      </c>
      <c r="P135" s="8" t="s">
        <v>30</v>
      </c>
      <c r="Q135" s="8" t="s">
        <v>75</v>
      </c>
      <c r="R135" s="8" t="s">
        <v>40</v>
      </c>
      <c r="S135" s="8" t="n">
        <v>1</v>
      </c>
      <c r="T135" s="8" t="n">
        <v>1</v>
      </c>
    </row>
    <row r="136" customFormat="false" ht="15" hidden="false" customHeight="false" outlineLevel="0" collapsed="false">
      <c r="A136" s="5" t="s">
        <v>256</v>
      </c>
      <c r="B136" s="5" t="s">
        <v>253</v>
      </c>
      <c r="C136" s="5" t="s">
        <v>254</v>
      </c>
      <c r="D136" s="5" t="s">
        <v>180</v>
      </c>
      <c r="E136" s="5" t="s">
        <v>181</v>
      </c>
      <c r="F136" s="5" t="s">
        <v>34</v>
      </c>
      <c r="G136" s="5" t="s">
        <v>35</v>
      </c>
      <c r="H136" s="6" t="n">
        <v>46900</v>
      </c>
      <c r="I136" s="6" t="n">
        <v>2300</v>
      </c>
      <c r="J136" s="6" t="n">
        <v>8400</v>
      </c>
      <c r="K136" s="6" t="n">
        <v>57600</v>
      </c>
      <c r="L136" s="5" t="n">
        <v>5</v>
      </c>
      <c r="M136" s="5" t="s">
        <v>257</v>
      </c>
      <c r="N136" s="5" t="n">
        <v>2019</v>
      </c>
      <c r="O136" s="7" t="n">
        <v>5.8</v>
      </c>
      <c r="P136" s="5" t="s">
        <v>30</v>
      </c>
      <c r="Q136" s="5" t="s">
        <v>48</v>
      </c>
      <c r="R136" s="5" t="s">
        <v>40</v>
      </c>
      <c r="S136" s="5" t="n">
        <v>1</v>
      </c>
      <c r="T136" s="5" t="n">
        <v>1</v>
      </c>
    </row>
    <row r="137" customFormat="false" ht="15" hidden="false" customHeight="false" outlineLevel="0" collapsed="false">
      <c r="A137" s="8" t="s">
        <v>258</v>
      </c>
      <c r="B137" s="8" t="s">
        <v>253</v>
      </c>
      <c r="C137" s="8" t="s">
        <v>254</v>
      </c>
      <c r="D137" s="8" t="s">
        <v>180</v>
      </c>
      <c r="E137" s="8" t="s">
        <v>181</v>
      </c>
      <c r="F137" s="8" t="s">
        <v>34</v>
      </c>
      <c r="G137" s="8" t="s">
        <v>35</v>
      </c>
      <c r="H137" s="9" t="n">
        <v>40200</v>
      </c>
      <c r="I137" s="9" t="n">
        <v>2000</v>
      </c>
      <c r="J137" s="9" t="n">
        <v>7200</v>
      </c>
      <c r="K137" s="9" t="n">
        <v>49400</v>
      </c>
      <c r="L137" s="8" t="n">
        <v>5</v>
      </c>
      <c r="M137" s="8" t="s">
        <v>77</v>
      </c>
      <c r="N137" s="8" t="n">
        <v>2024</v>
      </c>
      <c r="O137" s="10" t="n">
        <v>0.8</v>
      </c>
      <c r="P137" s="8" t="s">
        <v>30</v>
      </c>
      <c r="Q137" s="8" t="s">
        <v>37</v>
      </c>
      <c r="R137" s="8" t="s">
        <v>40</v>
      </c>
      <c r="S137" s="8" t="n">
        <v>1</v>
      </c>
      <c r="T137" s="8" t="n">
        <v>1</v>
      </c>
    </row>
    <row r="138" customFormat="false" ht="15" hidden="false" customHeight="false" outlineLevel="0" collapsed="false">
      <c r="A138" s="5" t="s">
        <v>259</v>
      </c>
      <c r="B138" s="5" t="s">
        <v>253</v>
      </c>
      <c r="C138" s="5" t="s">
        <v>254</v>
      </c>
      <c r="D138" s="5" t="s">
        <v>180</v>
      </c>
      <c r="E138" s="5" t="s">
        <v>181</v>
      </c>
      <c r="F138" s="5" t="s">
        <v>34</v>
      </c>
      <c r="G138" s="5" t="s">
        <v>35</v>
      </c>
      <c r="H138" s="6" t="n">
        <v>42000</v>
      </c>
      <c r="I138" s="6" t="n">
        <v>2100</v>
      </c>
      <c r="J138" s="6" t="n">
        <v>7600</v>
      </c>
      <c r="K138" s="6" t="n">
        <v>51700</v>
      </c>
      <c r="L138" s="5" t="n">
        <v>5</v>
      </c>
      <c r="M138" s="5" t="s">
        <v>47</v>
      </c>
      <c r="N138" s="5" t="n">
        <v>2022</v>
      </c>
      <c r="O138" s="7" t="n">
        <v>3</v>
      </c>
      <c r="P138" s="5" t="s">
        <v>30</v>
      </c>
      <c r="Q138" s="5" t="s">
        <v>37</v>
      </c>
      <c r="R138" s="5" t="s">
        <v>32</v>
      </c>
      <c r="S138" s="5" t="n">
        <v>1</v>
      </c>
      <c r="T138" s="5" t="n">
        <v>1</v>
      </c>
    </row>
    <row r="139" customFormat="false" ht="15" hidden="false" customHeight="false" outlineLevel="0" collapsed="false">
      <c r="A139" s="8" t="s">
        <v>260</v>
      </c>
      <c r="B139" s="8" t="s">
        <v>253</v>
      </c>
      <c r="C139" s="8" t="s">
        <v>254</v>
      </c>
      <c r="D139" s="8" t="s">
        <v>180</v>
      </c>
      <c r="E139" s="8" t="s">
        <v>181</v>
      </c>
      <c r="F139" s="8" t="s">
        <v>79</v>
      </c>
      <c r="G139" s="8" t="s">
        <v>80</v>
      </c>
      <c r="H139" s="9" t="n">
        <v>75100</v>
      </c>
      <c r="I139" s="9" t="n">
        <v>9000</v>
      </c>
      <c r="J139" s="9" t="n">
        <v>13500</v>
      </c>
      <c r="K139" s="9" t="n">
        <v>97600</v>
      </c>
      <c r="L139" s="8" t="n">
        <v>12</v>
      </c>
      <c r="M139" s="8" t="s">
        <v>112</v>
      </c>
      <c r="N139" s="8" t="n">
        <v>2020</v>
      </c>
      <c r="O139" s="10" t="n">
        <v>4.9</v>
      </c>
      <c r="P139" s="8" t="s">
        <v>30</v>
      </c>
      <c r="Q139" s="8" t="s">
        <v>75</v>
      </c>
      <c r="R139" s="8" t="s">
        <v>32</v>
      </c>
      <c r="S139" s="8" t="n">
        <v>0</v>
      </c>
      <c r="T139" s="8" t="n">
        <v>1</v>
      </c>
    </row>
    <row r="140" customFormat="false" ht="15" hidden="false" customHeight="false" outlineLevel="0" collapsed="false">
      <c r="A140" s="5" t="s">
        <v>261</v>
      </c>
      <c r="B140" s="5" t="s">
        <v>253</v>
      </c>
      <c r="C140" s="5" t="s">
        <v>254</v>
      </c>
      <c r="D140" s="5" t="s">
        <v>180</v>
      </c>
      <c r="E140" s="5" t="s">
        <v>181</v>
      </c>
      <c r="F140" s="5" t="s">
        <v>34</v>
      </c>
      <c r="G140" s="5" t="s">
        <v>35</v>
      </c>
      <c r="H140" s="6" t="n">
        <v>39400</v>
      </c>
      <c r="I140" s="6" t="n">
        <v>2000</v>
      </c>
      <c r="J140" s="6" t="n">
        <v>7100</v>
      </c>
      <c r="K140" s="6" t="n">
        <v>48500</v>
      </c>
      <c r="L140" s="5" t="n">
        <v>5</v>
      </c>
      <c r="M140" s="5" t="s">
        <v>117</v>
      </c>
      <c r="N140" s="5" t="n">
        <v>2021</v>
      </c>
      <c r="O140" s="7" t="n">
        <v>3.8</v>
      </c>
      <c r="P140" s="5" t="s">
        <v>30</v>
      </c>
      <c r="Q140" s="5" t="s">
        <v>48</v>
      </c>
      <c r="R140" s="5" t="s">
        <v>32</v>
      </c>
      <c r="S140" s="5" t="n">
        <v>1</v>
      </c>
      <c r="T140" s="5" t="n">
        <v>1</v>
      </c>
    </row>
    <row r="141" customFormat="false" ht="15" hidden="false" customHeight="false" outlineLevel="0" collapsed="false">
      <c r="A141" s="8" t="s">
        <v>262</v>
      </c>
      <c r="B141" s="8" t="s">
        <v>253</v>
      </c>
      <c r="C141" s="8" t="s">
        <v>254</v>
      </c>
      <c r="D141" s="8" t="s">
        <v>180</v>
      </c>
      <c r="E141" s="8" t="s">
        <v>181</v>
      </c>
      <c r="F141" s="8" t="s">
        <v>42</v>
      </c>
      <c r="G141" s="8" t="s">
        <v>43</v>
      </c>
      <c r="H141" s="9" t="n">
        <v>52600</v>
      </c>
      <c r="I141" s="9" t="n">
        <v>4200</v>
      </c>
      <c r="J141" s="9" t="n">
        <v>9500</v>
      </c>
      <c r="K141" s="9" t="n">
        <v>66300</v>
      </c>
      <c r="L141" s="8" t="n">
        <v>8</v>
      </c>
      <c r="M141" s="8" t="s">
        <v>36</v>
      </c>
      <c r="N141" s="8" t="n">
        <v>2020</v>
      </c>
      <c r="O141" s="10" t="n">
        <v>4.8</v>
      </c>
      <c r="P141" s="8" t="s">
        <v>54</v>
      </c>
      <c r="Q141" s="8" t="s">
        <v>57</v>
      </c>
      <c r="R141" s="8" t="s">
        <v>40</v>
      </c>
      <c r="S141" s="8" t="n">
        <v>1</v>
      </c>
      <c r="T141" s="8" t="n">
        <v>1</v>
      </c>
    </row>
    <row r="142" customFormat="false" ht="15" hidden="false" customHeight="false" outlineLevel="0" collapsed="false">
      <c r="A142" s="5" t="s">
        <v>263</v>
      </c>
      <c r="B142" s="5" t="s">
        <v>253</v>
      </c>
      <c r="C142" s="5" t="s">
        <v>254</v>
      </c>
      <c r="D142" s="5" t="s">
        <v>180</v>
      </c>
      <c r="E142" s="5" t="s">
        <v>181</v>
      </c>
      <c r="F142" s="5" t="s">
        <v>42</v>
      </c>
      <c r="G142" s="5" t="s">
        <v>43</v>
      </c>
      <c r="H142" s="6" t="n">
        <v>62500</v>
      </c>
      <c r="I142" s="6" t="n">
        <v>5000</v>
      </c>
      <c r="J142" s="6" t="n">
        <v>11200</v>
      </c>
      <c r="K142" s="6" t="n">
        <v>78700</v>
      </c>
      <c r="L142" s="5" t="n">
        <v>8</v>
      </c>
      <c r="M142" s="5" t="s">
        <v>51</v>
      </c>
      <c r="N142" s="5" t="n">
        <v>2023</v>
      </c>
      <c r="O142" s="7" t="n">
        <v>1.3</v>
      </c>
      <c r="P142" s="5" t="s">
        <v>30</v>
      </c>
      <c r="Q142" s="5" t="s">
        <v>45</v>
      </c>
      <c r="R142" s="5" t="s">
        <v>40</v>
      </c>
      <c r="S142" s="5" t="n">
        <v>1</v>
      </c>
      <c r="T142" s="5" t="n">
        <v>1</v>
      </c>
    </row>
    <row r="143" customFormat="false" ht="15" hidden="false" customHeight="false" outlineLevel="0" collapsed="false">
      <c r="A143" s="8" t="s">
        <v>264</v>
      </c>
      <c r="B143" s="8" t="s">
        <v>253</v>
      </c>
      <c r="C143" s="8" t="s">
        <v>254</v>
      </c>
      <c r="D143" s="8" t="s">
        <v>180</v>
      </c>
      <c r="E143" s="8" t="s">
        <v>181</v>
      </c>
      <c r="F143" s="8" t="s">
        <v>42</v>
      </c>
      <c r="G143" s="8" t="s">
        <v>43</v>
      </c>
      <c r="H143" s="9" t="n">
        <v>52900</v>
      </c>
      <c r="I143" s="9" t="n">
        <v>4200</v>
      </c>
      <c r="J143" s="9" t="n">
        <v>9500</v>
      </c>
      <c r="K143" s="9" t="n">
        <v>66600</v>
      </c>
      <c r="L143" s="8" t="n">
        <v>8</v>
      </c>
      <c r="M143" s="8" t="s">
        <v>89</v>
      </c>
      <c r="N143" s="8" t="n">
        <v>2023</v>
      </c>
      <c r="O143" s="10" t="n">
        <v>1.3</v>
      </c>
      <c r="P143" s="8" t="s">
        <v>82</v>
      </c>
      <c r="Q143" s="8" t="s">
        <v>57</v>
      </c>
      <c r="R143" s="8" t="s">
        <v>49</v>
      </c>
      <c r="S143" s="8" t="n">
        <v>1</v>
      </c>
      <c r="T143" s="8" t="n">
        <v>0</v>
      </c>
    </row>
    <row r="144" customFormat="false" ht="15" hidden="false" customHeight="false" outlineLevel="0" collapsed="false">
      <c r="A144" s="5" t="s">
        <v>265</v>
      </c>
      <c r="B144" s="5" t="s">
        <v>253</v>
      </c>
      <c r="C144" s="5" t="s">
        <v>254</v>
      </c>
      <c r="D144" s="5" t="s">
        <v>180</v>
      </c>
      <c r="E144" s="5" t="s">
        <v>181</v>
      </c>
      <c r="F144" s="5" t="s">
        <v>34</v>
      </c>
      <c r="G144" s="5" t="s">
        <v>35</v>
      </c>
      <c r="H144" s="6" t="n">
        <v>46500</v>
      </c>
      <c r="I144" s="6" t="n">
        <v>2300</v>
      </c>
      <c r="J144" s="6" t="n">
        <v>8400</v>
      </c>
      <c r="K144" s="6" t="n">
        <v>57200</v>
      </c>
      <c r="L144" s="5" t="n">
        <v>5</v>
      </c>
      <c r="M144" s="5" t="s">
        <v>154</v>
      </c>
      <c r="N144" s="5" t="n">
        <v>2021</v>
      </c>
      <c r="O144" s="7" t="n">
        <v>3.5</v>
      </c>
      <c r="P144" s="5" t="s">
        <v>30</v>
      </c>
      <c r="Q144" s="5" t="s">
        <v>37</v>
      </c>
      <c r="R144" s="5" t="s">
        <v>49</v>
      </c>
      <c r="S144" s="5" t="n">
        <v>1</v>
      </c>
      <c r="T144" s="5" t="n">
        <v>1</v>
      </c>
    </row>
    <row r="145" customFormat="false" ht="15" hidden="false" customHeight="false" outlineLevel="0" collapsed="false">
      <c r="A145" s="8" t="s">
        <v>266</v>
      </c>
      <c r="B145" s="8" t="s">
        <v>253</v>
      </c>
      <c r="C145" s="8" t="s">
        <v>254</v>
      </c>
      <c r="D145" s="8" t="s">
        <v>180</v>
      </c>
      <c r="E145" s="8" t="s">
        <v>181</v>
      </c>
      <c r="F145" s="8" t="s">
        <v>34</v>
      </c>
      <c r="G145" s="8" t="s">
        <v>35</v>
      </c>
      <c r="H145" s="9" t="n">
        <v>44200</v>
      </c>
      <c r="I145" s="9" t="n">
        <v>2200</v>
      </c>
      <c r="J145" s="9" t="n">
        <v>8000</v>
      </c>
      <c r="K145" s="9" t="n">
        <v>54400</v>
      </c>
      <c r="L145" s="8" t="n">
        <v>5</v>
      </c>
      <c r="M145" s="8" t="s">
        <v>267</v>
      </c>
      <c r="N145" s="8" t="n">
        <v>2023</v>
      </c>
      <c r="O145" s="10" t="n">
        <v>1.8</v>
      </c>
      <c r="P145" s="8" t="s">
        <v>30</v>
      </c>
      <c r="Q145" s="8" t="s">
        <v>48</v>
      </c>
      <c r="R145" s="8" t="s">
        <v>32</v>
      </c>
      <c r="S145" s="8" t="n">
        <v>1</v>
      </c>
      <c r="T145" s="8" t="n">
        <v>1</v>
      </c>
    </row>
    <row r="146" customFormat="false" ht="15" hidden="false" customHeight="false" outlineLevel="0" collapsed="false">
      <c r="A146" s="5" t="s">
        <v>268</v>
      </c>
      <c r="B146" s="5" t="s">
        <v>253</v>
      </c>
      <c r="C146" s="5" t="s">
        <v>254</v>
      </c>
      <c r="D146" s="5" t="s">
        <v>180</v>
      </c>
      <c r="E146" s="5" t="s">
        <v>181</v>
      </c>
      <c r="F146" s="5" t="s">
        <v>42</v>
      </c>
      <c r="G146" s="5" t="s">
        <v>43</v>
      </c>
      <c r="H146" s="6" t="n">
        <v>56600</v>
      </c>
      <c r="I146" s="6" t="n">
        <v>4500</v>
      </c>
      <c r="J146" s="6" t="n">
        <v>10200</v>
      </c>
      <c r="K146" s="6" t="n">
        <v>71300</v>
      </c>
      <c r="L146" s="5" t="n">
        <v>8</v>
      </c>
      <c r="M146" s="5" t="s">
        <v>165</v>
      </c>
      <c r="N146" s="5" t="n">
        <v>2020</v>
      </c>
      <c r="O146" s="7" t="n">
        <v>4.8</v>
      </c>
      <c r="P146" s="5" t="s">
        <v>30</v>
      </c>
      <c r="Q146" s="5" t="s">
        <v>31</v>
      </c>
      <c r="R146" s="5" t="s">
        <v>32</v>
      </c>
      <c r="S146" s="5" t="n">
        <v>1</v>
      </c>
      <c r="T146" s="5" t="n">
        <v>1</v>
      </c>
    </row>
    <row r="147" customFormat="false" ht="15" hidden="false" customHeight="false" outlineLevel="0" collapsed="false">
      <c r="A147" s="8" t="s">
        <v>269</v>
      </c>
      <c r="B147" s="8" t="s">
        <v>253</v>
      </c>
      <c r="C147" s="8" t="s">
        <v>254</v>
      </c>
      <c r="D147" s="8" t="s">
        <v>180</v>
      </c>
      <c r="E147" s="8" t="s">
        <v>181</v>
      </c>
      <c r="F147" s="8" t="s">
        <v>64</v>
      </c>
      <c r="G147" s="8" t="s">
        <v>65</v>
      </c>
      <c r="H147" s="9" t="n">
        <v>110700</v>
      </c>
      <c r="I147" s="9" t="n">
        <v>22100</v>
      </c>
      <c r="J147" s="9" t="n">
        <v>19900</v>
      </c>
      <c r="K147" s="9" t="n">
        <v>152700</v>
      </c>
      <c r="L147" s="8" t="n">
        <v>20</v>
      </c>
      <c r="M147" s="8" t="s">
        <v>47</v>
      </c>
      <c r="N147" s="8" t="n">
        <v>2022</v>
      </c>
      <c r="O147" s="10" t="n">
        <v>3</v>
      </c>
      <c r="P147" s="8" t="s">
        <v>30</v>
      </c>
      <c r="Q147" s="8" t="s">
        <v>48</v>
      </c>
      <c r="R147" s="8" t="s">
        <v>49</v>
      </c>
      <c r="S147" s="8" t="n">
        <v>1</v>
      </c>
      <c r="T147" s="8" t="n">
        <v>1</v>
      </c>
    </row>
    <row r="148" customFormat="false" ht="15" hidden="false" customHeight="false" outlineLevel="0" collapsed="false">
      <c r="A148" s="5" t="s">
        <v>270</v>
      </c>
      <c r="B148" s="5" t="s">
        <v>253</v>
      </c>
      <c r="C148" s="5" t="s">
        <v>254</v>
      </c>
      <c r="D148" s="5" t="s">
        <v>180</v>
      </c>
      <c r="E148" s="5" t="s">
        <v>181</v>
      </c>
      <c r="F148" s="5" t="s">
        <v>42</v>
      </c>
      <c r="G148" s="5" t="s">
        <v>43</v>
      </c>
      <c r="H148" s="6" t="n">
        <v>59500</v>
      </c>
      <c r="I148" s="6" t="n">
        <v>4800</v>
      </c>
      <c r="J148" s="6" t="n">
        <v>10700</v>
      </c>
      <c r="K148" s="6" t="n">
        <v>75000</v>
      </c>
      <c r="L148" s="5" t="n">
        <v>8</v>
      </c>
      <c r="M148" s="5" t="s">
        <v>203</v>
      </c>
      <c r="N148" s="5" t="n">
        <v>2022</v>
      </c>
      <c r="O148" s="7" t="n">
        <v>2.1</v>
      </c>
      <c r="P148" s="5" t="s">
        <v>30</v>
      </c>
      <c r="Q148" s="5" t="s">
        <v>75</v>
      </c>
      <c r="R148" s="5" t="s">
        <v>40</v>
      </c>
      <c r="S148" s="5" t="n">
        <v>1</v>
      </c>
      <c r="T148" s="5" t="n">
        <v>1</v>
      </c>
    </row>
    <row r="149" customFormat="false" ht="15" hidden="false" customHeight="false" outlineLevel="0" collapsed="false">
      <c r="A149" s="8" t="s">
        <v>271</v>
      </c>
      <c r="B149" s="8" t="s">
        <v>253</v>
      </c>
      <c r="C149" s="8" t="s">
        <v>254</v>
      </c>
      <c r="D149" s="8" t="s">
        <v>180</v>
      </c>
      <c r="E149" s="8" t="s">
        <v>181</v>
      </c>
      <c r="F149" s="8" t="s">
        <v>34</v>
      </c>
      <c r="G149" s="8" t="s">
        <v>35</v>
      </c>
      <c r="H149" s="9" t="n">
        <v>45100</v>
      </c>
      <c r="I149" s="9" t="n">
        <v>2300</v>
      </c>
      <c r="J149" s="9" t="n">
        <v>8100</v>
      </c>
      <c r="K149" s="9" t="n">
        <v>55500</v>
      </c>
      <c r="L149" s="8" t="n">
        <v>5</v>
      </c>
      <c r="M149" s="8" t="s">
        <v>68</v>
      </c>
      <c r="N149" s="8" t="n">
        <v>2021</v>
      </c>
      <c r="O149" s="10" t="n">
        <v>3.2</v>
      </c>
      <c r="P149" s="8" t="s">
        <v>30</v>
      </c>
      <c r="Q149" s="8" t="s">
        <v>45</v>
      </c>
      <c r="R149" s="8" t="s">
        <v>32</v>
      </c>
      <c r="S149" s="8" t="n">
        <v>1</v>
      </c>
      <c r="T149" s="8" t="n">
        <v>1</v>
      </c>
    </row>
    <row r="150" customFormat="false" ht="15" hidden="false" customHeight="false" outlineLevel="0" collapsed="false">
      <c r="A150" s="5" t="s">
        <v>272</v>
      </c>
      <c r="B150" s="5" t="s">
        <v>253</v>
      </c>
      <c r="C150" s="5" t="s">
        <v>254</v>
      </c>
      <c r="D150" s="5" t="s">
        <v>180</v>
      </c>
      <c r="E150" s="5" t="s">
        <v>181</v>
      </c>
      <c r="F150" s="5" t="s">
        <v>34</v>
      </c>
      <c r="G150" s="5" t="s">
        <v>35</v>
      </c>
      <c r="H150" s="6" t="n">
        <v>43600</v>
      </c>
      <c r="I150" s="6" t="n">
        <v>2200</v>
      </c>
      <c r="J150" s="6" t="n">
        <v>7800</v>
      </c>
      <c r="K150" s="6" t="n">
        <v>53600</v>
      </c>
      <c r="L150" s="5" t="n">
        <v>5</v>
      </c>
      <c r="M150" s="5" t="s">
        <v>121</v>
      </c>
      <c r="N150" s="5" t="n">
        <v>2021</v>
      </c>
      <c r="O150" s="7" t="n">
        <v>3.4</v>
      </c>
      <c r="P150" s="5" t="s">
        <v>30</v>
      </c>
      <c r="Q150" s="5" t="s">
        <v>75</v>
      </c>
      <c r="R150" s="5" t="s">
        <v>32</v>
      </c>
      <c r="S150" s="5" t="n">
        <v>1</v>
      </c>
      <c r="T150" s="5" t="n">
        <v>1</v>
      </c>
    </row>
    <row r="151" customFormat="false" ht="15" hidden="false" customHeight="false" outlineLevel="0" collapsed="false">
      <c r="A151" s="8" t="s">
        <v>273</v>
      </c>
      <c r="B151" s="8" t="s">
        <v>253</v>
      </c>
      <c r="C151" s="8" t="s">
        <v>254</v>
      </c>
      <c r="D151" s="8" t="s">
        <v>180</v>
      </c>
      <c r="E151" s="8" t="s">
        <v>181</v>
      </c>
      <c r="F151" s="8" t="s">
        <v>42</v>
      </c>
      <c r="G151" s="8" t="s">
        <v>43</v>
      </c>
      <c r="H151" s="9" t="n">
        <v>54000</v>
      </c>
      <c r="I151" s="9" t="n">
        <v>4300</v>
      </c>
      <c r="J151" s="9" t="n">
        <v>9700</v>
      </c>
      <c r="K151" s="9" t="n">
        <v>68000</v>
      </c>
      <c r="L151" s="8" t="n">
        <v>8</v>
      </c>
      <c r="M151" s="8" t="s">
        <v>199</v>
      </c>
      <c r="N151" s="8" t="n">
        <v>2022</v>
      </c>
      <c r="O151" s="10" t="n">
        <v>2.3</v>
      </c>
      <c r="P151" s="8" t="s">
        <v>30</v>
      </c>
      <c r="Q151" s="8" t="s">
        <v>75</v>
      </c>
      <c r="R151" s="8" t="s">
        <v>40</v>
      </c>
      <c r="S151" s="8" t="n">
        <v>1</v>
      </c>
      <c r="T151" s="8" t="n">
        <v>1</v>
      </c>
    </row>
    <row r="152" customFormat="false" ht="15" hidden="false" customHeight="false" outlineLevel="0" collapsed="false">
      <c r="A152" s="5" t="s">
        <v>274</v>
      </c>
      <c r="B152" s="5" t="s">
        <v>253</v>
      </c>
      <c r="C152" s="5" t="s">
        <v>254</v>
      </c>
      <c r="D152" s="5" t="s">
        <v>180</v>
      </c>
      <c r="E152" s="5" t="s">
        <v>181</v>
      </c>
      <c r="F152" s="5" t="s">
        <v>42</v>
      </c>
      <c r="G152" s="5" t="s">
        <v>43</v>
      </c>
      <c r="H152" s="6" t="n">
        <v>52700</v>
      </c>
      <c r="I152" s="6" t="n">
        <v>4200</v>
      </c>
      <c r="J152" s="6" t="n">
        <v>9500</v>
      </c>
      <c r="K152" s="6" t="n">
        <v>66400</v>
      </c>
      <c r="L152" s="5" t="n">
        <v>8</v>
      </c>
      <c r="M152" s="5" t="s">
        <v>154</v>
      </c>
      <c r="N152" s="5" t="n">
        <v>2021</v>
      </c>
      <c r="O152" s="7" t="n">
        <v>3.5</v>
      </c>
      <c r="P152" s="5" t="s">
        <v>54</v>
      </c>
      <c r="Q152" s="5" t="s">
        <v>75</v>
      </c>
      <c r="R152" s="5" t="s">
        <v>40</v>
      </c>
      <c r="S152" s="5" t="n">
        <v>1</v>
      </c>
      <c r="T152" s="5" t="n">
        <v>1</v>
      </c>
    </row>
    <row r="153" customFormat="false" ht="15" hidden="false" customHeight="false" outlineLevel="0" collapsed="false">
      <c r="A153" s="8" t="s">
        <v>275</v>
      </c>
      <c r="B153" s="8" t="s">
        <v>253</v>
      </c>
      <c r="C153" s="8" t="s">
        <v>254</v>
      </c>
      <c r="D153" s="8" t="s">
        <v>180</v>
      </c>
      <c r="E153" s="8" t="s">
        <v>181</v>
      </c>
      <c r="F153" s="8" t="s">
        <v>27</v>
      </c>
      <c r="G153" s="8" t="s">
        <v>28</v>
      </c>
      <c r="H153" s="9" t="n">
        <v>37500</v>
      </c>
      <c r="I153" s="9" t="n">
        <v>0</v>
      </c>
      <c r="J153" s="9" t="n">
        <v>6800</v>
      </c>
      <c r="K153" s="9" t="n">
        <v>44300</v>
      </c>
      <c r="L153" s="8" t="n">
        <v>0</v>
      </c>
      <c r="M153" s="8" t="s">
        <v>230</v>
      </c>
      <c r="N153" s="8" t="n">
        <v>2020</v>
      </c>
      <c r="O153" s="10" t="n">
        <v>4.2</v>
      </c>
      <c r="P153" s="8" t="s">
        <v>30</v>
      </c>
      <c r="Q153" s="8" t="s">
        <v>48</v>
      </c>
      <c r="R153" s="8" t="s">
        <v>40</v>
      </c>
      <c r="S153" s="8" t="n">
        <v>1</v>
      </c>
      <c r="T153" s="8" t="n">
        <v>1</v>
      </c>
    </row>
    <row r="154" customFormat="false" ht="15" hidden="false" customHeight="false" outlineLevel="0" collapsed="false">
      <c r="A154" s="5" t="s">
        <v>276</v>
      </c>
      <c r="B154" s="5" t="s">
        <v>253</v>
      </c>
      <c r="C154" s="5" t="s">
        <v>254</v>
      </c>
      <c r="D154" s="5" t="s">
        <v>180</v>
      </c>
      <c r="E154" s="5" t="s">
        <v>181</v>
      </c>
      <c r="F154" s="5" t="s">
        <v>93</v>
      </c>
      <c r="G154" s="5" t="s">
        <v>94</v>
      </c>
      <c r="H154" s="6" t="n">
        <v>90200</v>
      </c>
      <c r="I154" s="6" t="n">
        <v>13500</v>
      </c>
      <c r="J154" s="6" t="n">
        <v>16200</v>
      </c>
      <c r="K154" s="6" t="n">
        <v>119900</v>
      </c>
      <c r="L154" s="5" t="n">
        <v>15</v>
      </c>
      <c r="M154" s="5" t="s">
        <v>203</v>
      </c>
      <c r="N154" s="5" t="n">
        <v>2022</v>
      </c>
      <c r="O154" s="7" t="n">
        <v>2.1</v>
      </c>
      <c r="P154" s="5" t="s">
        <v>30</v>
      </c>
      <c r="Q154" s="5" t="s">
        <v>31</v>
      </c>
      <c r="R154" s="5" t="s">
        <v>40</v>
      </c>
      <c r="S154" s="5" t="n">
        <v>1</v>
      </c>
      <c r="T154" s="5" t="n">
        <v>1</v>
      </c>
    </row>
    <row r="155" customFormat="false" ht="15" hidden="false" customHeight="false" outlineLevel="0" collapsed="false">
      <c r="A155" s="8" t="s">
        <v>277</v>
      </c>
      <c r="B155" s="8" t="s">
        <v>253</v>
      </c>
      <c r="C155" s="8" t="s">
        <v>254</v>
      </c>
      <c r="D155" s="8" t="s">
        <v>180</v>
      </c>
      <c r="E155" s="8" t="s">
        <v>181</v>
      </c>
      <c r="F155" s="8" t="s">
        <v>42</v>
      </c>
      <c r="G155" s="8" t="s">
        <v>43</v>
      </c>
      <c r="H155" s="9" t="n">
        <v>63100</v>
      </c>
      <c r="I155" s="9" t="n">
        <v>5000</v>
      </c>
      <c r="J155" s="9" t="n">
        <v>11400</v>
      </c>
      <c r="K155" s="9" t="n">
        <v>79500</v>
      </c>
      <c r="L155" s="8" t="n">
        <v>8</v>
      </c>
      <c r="M155" s="8" t="s">
        <v>267</v>
      </c>
      <c r="N155" s="8" t="n">
        <v>2023</v>
      </c>
      <c r="O155" s="10" t="n">
        <v>1.8</v>
      </c>
      <c r="P155" s="8" t="s">
        <v>30</v>
      </c>
      <c r="Q155" s="8" t="s">
        <v>45</v>
      </c>
      <c r="R155" s="8" t="s">
        <v>40</v>
      </c>
      <c r="S155" s="8" t="n">
        <v>0</v>
      </c>
      <c r="T155" s="8" t="n">
        <v>1</v>
      </c>
    </row>
    <row r="156" customFormat="false" ht="15" hidden="false" customHeight="false" outlineLevel="0" collapsed="false">
      <c r="A156" s="5" t="s">
        <v>278</v>
      </c>
      <c r="B156" s="5" t="s">
        <v>253</v>
      </c>
      <c r="C156" s="5" t="s">
        <v>254</v>
      </c>
      <c r="D156" s="5" t="s">
        <v>180</v>
      </c>
      <c r="E156" s="5" t="s">
        <v>181</v>
      </c>
      <c r="F156" s="5" t="s">
        <v>34</v>
      </c>
      <c r="G156" s="5" t="s">
        <v>35</v>
      </c>
      <c r="H156" s="6" t="n">
        <v>40400</v>
      </c>
      <c r="I156" s="6" t="n">
        <v>2000</v>
      </c>
      <c r="J156" s="6" t="n">
        <v>7300</v>
      </c>
      <c r="K156" s="6" t="n">
        <v>49700</v>
      </c>
      <c r="L156" s="5" t="n">
        <v>5</v>
      </c>
      <c r="M156" s="5" t="s">
        <v>85</v>
      </c>
      <c r="N156" s="5" t="n">
        <v>2022</v>
      </c>
      <c r="O156" s="7" t="n">
        <v>2.5</v>
      </c>
      <c r="P156" s="5" t="s">
        <v>82</v>
      </c>
      <c r="Q156" s="5" t="s">
        <v>31</v>
      </c>
      <c r="R156" s="5" t="s">
        <v>49</v>
      </c>
      <c r="S156" s="5" t="n">
        <v>0</v>
      </c>
      <c r="T156" s="5" t="n">
        <v>0</v>
      </c>
    </row>
    <row r="157" customFormat="false" ht="15" hidden="false" customHeight="false" outlineLevel="0" collapsed="false">
      <c r="A157" s="8" t="s">
        <v>279</v>
      </c>
      <c r="B157" s="8" t="s">
        <v>253</v>
      </c>
      <c r="C157" s="8" t="s">
        <v>254</v>
      </c>
      <c r="D157" s="8" t="s">
        <v>180</v>
      </c>
      <c r="E157" s="8" t="s">
        <v>181</v>
      </c>
      <c r="F157" s="8" t="s">
        <v>42</v>
      </c>
      <c r="G157" s="8" t="s">
        <v>43</v>
      </c>
      <c r="H157" s="9" t="n">
        <v>56500</v>
      </c>
      <c r="I157" s="9" t="n">
        <v>4500</v>
      </c>
      <c r="J157" s="9" t="n">
        <v>10200</v>
      </c>
      <c r="K157" s="9" t="n">
        <v>71200</v>
      </c>
      <c r="L157" s="8" t="n">
        <v>8</v>
      </c>
      <c r="M157" s="8" t="s">
        <v>77</v>
      </c>
      <c r="N157" s="8" t="n">
        <v>2024</v>
      </c>
      <c r="O157" s="10" t="n">
        <v>0.8</v>
      </c>
      <c r="P157" s="8" t="s">
        <v>30</v>
      </c>
      <c r="Q157" s="8" t="s">
        <v>45</v>
      </c>
      <c r="R157" s="8" t="s">
        <v>32</v>
      </c>
      <c r="S157" s="8" t="n">
        <v>1</v>
      </c>
      <c r="T157" s="8" t="n">
        <v>1</v>
      </c>
    </row>
    <row r="158" customFormat="false" ht="15" hidden="false" customHeight="false" outlineLevel="0" collapsed="false">
      <c r="A158" s="5" t="s">
        <v>280</v>
      </c>
      <c r="B158" s="5" t="s">
        <v>253</v>
      </c>
      <c r="C158" s="5" t="s">
        <v>254</v>
      </c>
      <c r="D158" s="5" t="s">
        <v>180</v>
      </c>
      <c r="E158" s="5" t="s">
        <v>181</v>
      </c>
      <c r="F158" s="5" t="s">
        <v>42</v>
      </c>
      <c r="G158" s="5" t="s">
        <v>43</v>
      </c>
      <c r="H158" s="6" t="n">
        <v>58800</v>
      </c>
      <c r="I158" s="6" t="n">
        <v>4700</v>
      </c>
      <c r="J158" s="6" t="n">
        <v>10600</v>
      </c>
      <c r="K158" s="6" t="n">
        <v>74100</v>
      </c>
      <c r="L158" s="5" t="n">
        <v>8</v>
      </c>
      <c r="M158" s="5" t="s">
        <v>156</v>
      </c>
      <c r="N158" s="5" t="n">
        <v>2024</v>
      </c>
      <c r="O158" s="7" t="n">
        <v>1</v>
      </c>
      <c r="P158" s="5" t="s">
        <v>30</v>
      </c>
      <c r="Q158" s="5" t="s">
        <v>57</v>
      </c>
      <c r="R158" s="5" t="s">
        <v>32</v>
      </c>
      <c r="S158" s="5" t="n">
        <v>1</v>
      </c>
      <c r="T158" s="5" t="n">
        <v>1</v>
      </c>
    </row>
    <row r="159" customFormat="false" ht="15" hidden="false" customHeight="false" outlineLevel="0" collapsed="false">
      <c r="A159" s="8" t="s">
        <v>281</v>
      </c>
      <c r="B159" s="8" t="s">
        <v>282</v>
      </c>
      <c r="C159" s="8" t="s">
        <v>283</v>
      </c>
      <c r="D159" s="8" t="s">
        <v>284</v>
      </c>
      <c r="E159" s="8" t="s">
        <v>285</v>
      </c>
      <c r="F159" s="8" t="s">
        <v>64</v>
      </c>
      <c r="G159" s="8" t="s">
        <v>65</v>
      </c>
      <c r="H159" s="9" t="n">
        <v>154800</v>
      </c>
      <c r="I159" s="9" t="n">
        <v>31000</v>
      </c>
      <c r="J159" s="9" t="n">
        <v>27900</v>
      </c>
      <c r="K159" s="9" t="n">
        <v>213700</v>
      </c>
      <c r="L159" s="8" t="n">
        <v>20</v>
      </c>
      <c r="M159" s="8" t="s">
        <v>286</v>
      </c>
      <c r="N159" s="8" t="n">
        <v>2019</v>
      </c>
      <c r="O159" s="10" t="n">
        <v>5.4</v>
      </c>
      <c r="P159" s="8" t="s">
        <v>30</v>
      </c>
      <c r="Q159" s="8" t="s">
        <v>37</v>
      </c>
      <c r="R159" s="8" t="s">
        <v>40</v>
      </c>
      <c r="S159" s="8" t="n">
        <v>1</v>
      </c>
      <c r="T159" s="8" t="n">
        <v>1</v>
      </c>
    </row>
    <row r="160" customFormat="false" ht="15" hidden="false" customHeight="false" outlineLevel="0" collapsed="false">
      <c r="A160" s="5" t="s">
        <v>287</v>
      </c>
      <c r="B160" s="5" t="s">
        <v>282</v>
      </c>
      <c r="C160" s="5" t="s">
        <v>283</v>
      </c>
      <c r="D160" s="5" t="s">
        <v>284</v>
      </c>
      <c r="E160" s="5" t="s">
        <v>285</v>
      </c>
      <c r="F160" s="5" t="s">
        <v>34</v>
      </c>
      <c r="G160" s="5" t="s">
        <v>35</v>
      </c>
      <c r="H160" s="6" t="n">
        <v>57700</v>
      </c>
      <c r="I160" s="6" t="n">
        <v>2900</v>
      </c>
      <c r="J160" s="6" t="n">
        <v>10400</v>
      </c>
      <c r="K160" s="6" t="n">
        <v>71000</v>
      </c>
      <c r="L160" s="5" t="n">
        <v>5</v>
      </c>
      <c r="M160" s="5" t="s">
        <v>232</v>
      </c>
      <c r="N160" s="5" t="n">
        <v>2020</v>
      </c>
      <c r="O160" s="7" t="n">
        <v>4.6</v>
      </c>
      <c r="P160" s="5" t="s">
        <v>30</v>
      </c>
      <c r="Q160" s="5" t="s">
        <v>48</v>
      </c>
      <c r="R160" s="5" t="s">
        <v>40</v>
      </c>
      <c r="S160" s="5" t="n">
        <v>1</v>
      </c>
      <c r="T160" s="5" t="n">
        <v>1</v>
      </c>
    </row>
    <row r="161" customFormat="false" ht="15" hidden="false" customHeight="false" outlineLevel="0" collapsed="false">
      <c r="A161" s="8" t="s">
        <v>288</v>
      </c>
      <c r="B161" s="8" t="s">
        <v>282</v>
      </c>
      <c r="C161" s="8" t="s">
        <v>283</v>
      </c>
      <c r="D161" s="8" t="s">
        <v>284</v>
      </c>
      <c r="E161" s="8" t="s">
        <v>285</v>
      </c>
      <c r="F161" s="8" t="s">
        <v>34</v>
      </c>
      <c r="G161" s="8" t="s">
        <v>35</v>
      </c>
      <c r="H161" s="9" t="n">
        <v>48100</v>
      </c>
      <c r="I161" s="9" t="n">
        <v>2400</v>
      </c>
      <c r="J161" s="9" t="n">
        <v>8700</v>
      </c>
      <c r="K161" s="9" t="n">
        <v>59200</v>
      </c>
      <c r="L161" s="8" t="n">
        <v>5</v>
      </c>
      <c r="M161" s="8" t="s">
        <v>95</v>
      </c>
      <c r="N161" s="8" t="n">
        <v>2019</v>
      </c>
      <c r="O161" s="10" t="n">
        <v>5.3</v>
      </c>
      <c r="P161" s="8" t="s">
        <v>30</v>
      </c>
      <c r="Q161" s="8" t="s">
        <v>57</v>
      </c>
      <c r="R161" s="8" t="s">
        <v>32</v>
      </c>
      <c r="S161" s="8" t="n">
        <v>1</v>
      </c>
      <c r="T161" s="8" t="n">
        <v>1</v>
      </c>
    </row>
    <row r="162" customFormat="false" ht="15" hidden="false" customHeight="false" outlineLevel="0" collapsed="false">
      <c r="A162" s="5" t="s">
        <v>289</v>
      </c>
      <c r="B162" s="5" t="s">
        <v>282</v>
      </c>
      <c r="C162" s="5" t="s">
        <v>283</v>
      </c>
      <c r="D162" s="5" t="s">
        <v>284</v>
      </c>
      <c r="E162" s="5" t="s">
        <v>285</v>
      </c>
      <c r="F162" s="5" t="s">
        <v>42</v>
      </c>
      <c r="G162" s="5" t="s">
        <v>43</v>
      </c>
      <c r="H162" s="6" t="n">
        <v>74900</v>
      </c>
      <c r="I162" s="6" t="n">
        <v>6000</v>
      </c>
      <c r="J162" s="6" t="n">
        <v>13500</v>
      </c>
      <c r="K162" s="6" t="n">
        <v>94400</v>
      </c>
      <c r="L162" s="5" t="n">
        <v>8</v>
      </c>
      <c r="M162" s="5" t="s">
        <v>203</v>
      </c>
      <c r="N162" s="5" t="n">
        <v>2022</v>
      </c>
      <c r="O162" s="7" t="n">
        <v>2.1</v>
      </c>
      <c r="P162" s="5" t="s">
        <v>54</v>
      </c>
      <c r="Q162" s="5" t="s">
        <v>37</v>
      </c>
      <c r="R162" s="5" t="s">
        <v>49</v>
      </c>
      <c r="S162" s="5" t="n">
        <v>1</v>
      </c>
      <c r="T162" s="5" t="n">
        <v>1</v>
      </c>
    </row>
    <row r="163" customFormat="false" ht="15" hidden="false" customHeight="false" outlineLevel="0" collapsed="false">
      <c r="A163" s="8" t="s">
        <v>290</v>
      </c>
      <c r="B163" s="8" t="s">
        <v>282</v>
      </c>
      <c r="C163" s="8" t="s">
        <v>283</v>
      </c>
      <c r="D163" s="8" t="s">
        <v>284</v>
      </c>
      <c r="E163" s="8" t="s">
        <v>285</v>
      </c>
      <c r="F163" s="8" t="s">
        <v>42</v>
      </c>
      <c r="G163" s="8" t="s">
        <v>43</v>
      </c>
      <c r="H163" s="9" t="n">
        <v>71100</v>
      </c>
      <c r="I163" s="9" t="n">
        <v>5700</v>
      </c>
      <c r="J163" s="9" t="n">
        <v>12800</v>
      </c>
      <c r="K163" s="9" t="n">
        <v>89600</v>
      </c>
      <c r="L163" s="8" t="n">
        <v>8</v>
      </c>
      <c r="M163" s="8" t="s">
        <v>87</v>
      </c>
      <c r="N163" s="8" t="n">
        <v>2024</v>
      </c>
      <c r="O163" s="10" t="n">
        <v>0.1</v>
      </c>
      <c r="P163" s="8" t="s">
        <v>30</v>
      </c>
      <c r="Q163" s="8" t="s">
        <v>75</v>
      </c>
      <c r="R163" s="8" t="s">
        <v>40</v>
      </c>
      <c r="S163" s="8" t="n">
        <v>1</v>
      </c>
      <c r="T163" s="8" t="n">
        <v>1</v>
      </c>
    </row>
    <row r="164" customFormat="false" ht="15" hidden="false" customHeight="false" outlineLevel="0" collapsed="false">
      <c r="A164" s="5" t="s">
        <v>291</v>
      </c>
      <c r="B164" s="5" t="s">
        <v>282</v>
      </c>
      <c r="C164" s="5" t="s">
        <v>283</v>
      </c>
      <c r="D164" s="5" t="s">
        <v>284</v>
      </c>
      <c r="E164" s="5" t="s">
        <v>285</v>
      </c>
      <c r="F164" s="5" t="s">
        <v>42</v>
      </c>
      <c r="G164" s="5" t="s">
        <v>43</v>
      </c>
      <c r="H164" s="6" t="n">
        <v>72100</v>
      </c>
      <c r="I164" s="6" t="n">
        <v>5800</v>
      </c>
      <c r="J164" s="6" t="n">
        <v>13000</v>
      </c>
      <c r="K164" s="6" t="n">
        <v>90900</v>
      </c>
      <c r="L164" s="5" t="n">
        <v>8</v>
      </c>
      <c r="M164" s="5" t="s">
        <v>101</v>
      </c>
      <c r="N164" s="5" t="n">
        <v>2023</v>
      </c>
      <c r="O164" s="7" t="n">
        <v>1.8</v>
      </c>
      <c r="P164" s="5" t="s">
        <v>30</v>
      </c>
      <c r="Q164" s="5" t="s">
        <v>45</v>
      </c>
      <c r="R164" s="5" t="s">
        <v>40</v>
      </c>
      <c r="S164" s="5" t="n">
        <v>1</v>
      </c>
      <c r="T164" s="5" t="n">
        <v>1</v>
      </c>
    </row>
    <row r="165" customFormat="false" ht="15" hidden="false" customHeight="false" outlineLevel="0" collapsed="false">
      <c r="A165" s="8" t="s">
        <v>292</v>
      </c>
      <c r="B165" s="8" t="s">
        <v>282</v>
      </c>
      <c r="C165" s="8" t="s">
        <v>283</v>
      </c>
      <c r="D165" s="8" t="s">
        <v>284</v>
      </c>
      <c r="E165" s="8" t="s">
        <v>285</v>
      </c>
      <c r="F165" s="8" t="s">
        <v>93</v>
      </c>
      <c r="G165" s="8" t="s">
        <v>94</v>
      </c>
      <c r="H165" s="9" t="n">
        <v>106300</v>
      </c>
      <c r="I165" s="9" t="n">
        <v>15900</v>
      </c>
      <c r="J165" s="9" t="n">
        <v>19100</v>
      </c>
      <c r="K165" s="9" t="n">
        <v>141300</v>
      </c>
      <c r="L165" s="8" t="n">
        <v>15</v>
      </c>
      <c r="M165" s="8" t="s">
        <v>115</v>
      </c>
      <c r="N165" s="8" t="n">
        <v>2023</v>
      </c>
      <c r="O165" s="10" t="n">
        <v>1.7</v>
      </c>
      <c r="P165" s="8" t="s">
        <v>30</v>
      </c>
      <c r="Q165" s="8" t="s">
        <v>45</v>
      </c>
      <c r="R165" s="8" t="s">
        <v>40</v>
      </c>
      <c r="S165" s="8" t="n">
        <v>1</v>
      </c>
      <c r="T165" s="8" t="n">
        <v>1</v>
      </c>
    </row>
    <row r="166" customFormat="false" ht="15" hidden="false" customHeight="false" outlineLevel="0" collapsed="false">
      <c r="A166" s="5" t="s">
        <v>293</v>
      </c>
      <c r="B166" s="5" t="s">
        <v>282</v>
      </c>
      <c r="C166" s="5" t="s">
        <v>283</v>
      </c>
      <c r="D166" s="5" t="s">
        <v>284</v>
      </c>
      <c r="E166" s="5" t="s">
        <v>285</v>
      </c>
      <c r="F166" s="5" t="s">
        <v>34</v>
      </c>
      <c r="G166" s="5" t="s">
        <v>35</v>
      </c>
      <c r="H166" s="6" t="n">
        <v>57400</v>
      </c>
      <c r="I166" s="6" t="n">
        <v>2900</v>
      </c>
      <c r="J166" s="6" t="n">
        <v>10300</v>
      </c>
      <c r="K166" s="6" t="n">
        <v>70600</v>
      </c>
      <c r="L166" s="5" t="n">
        <v>5</v>
      </c>
      <c r="M166" s="5" t="s">
        <v>257</v>
      </c>
      <c r="N166" s="5" t="n">
        <v>2019</v>
      </c>
      <c r="O166" s="7" t="n">
        <v>5.8</v>
      </c>
      <c r="P166" s="5" t="s">
        <v>82</v>
      </c>
      <c r="Q166" s="5" t="s">
        <v>48</v>
      </c>
      <c r="R166" s="5" t="s">
        <v>40</v>
      </c>
      <c r="S166" s="5" t="n">
        <v>1</v>
      </c>
      <c r="T166" s="5" t="n">
        <v>0</v>
      </c>
    </row>
    <row r="167" customFormat="false" ht="15" hidden="false" customHeight="false" outlineLevel="0" collapsed="false">
      <c r="A167" s="8" t="s">
        <v>294</v>
      </c>
      <c r="B167" s="8" t="s">
        <v>282</v>
      </c>
      <c r="C167" s="8" t="s">
        <v>283</v>
      </c>
      <c r="D167" s="8" t="s">
        <v>284</v>
      </c>
      <c r="E167" s="8" t="s">
        <v>285</v>
      </c>
      <c r="F167" s="8" t="s">
        <v>79</v>
      </c>
      <c r="G167" s="8" t="s">
        <v>80</v>
      </c>
      <c r="H167" s="9" t="n">
        <v>93900</v>
      </c>
      <c r="I167" s="9" t="n">
        <v>11300</v>
      </c>
      <c r="J167" s="9" t="n">
        <v>16900</v>
      </c>
      <c r="K167" s="9" t="n">
        <v>122100</v>
      </c>
      <c r="L167" s="8" t="n">
        <v>12</v>
      </c>
      <c r="M167" s="8" t="s">
        <v>44</v>
      </c>
      <c r="N167" s="8" t="n">
        <v>2019</v>
      </c>
      <c r="O167" s="10" t="n">
        <v>5.2</v>
      </c>
      <c r="P167" s="8" t="s">
        <v>82</v>
      </c>
      <c r="Q167" s="8" t="s">
        <v>75</v>
      </c>
      <c r="R167" s="8" t="s">
        <v>49</v>
      </c>
      <c r="S167" s="8" t="n">
        <v>1</v>
      </c>
      <c r="T167" s="8" t="n">
        <v>0</v>
      </c>
    </row>
    <row r="168" customFormat="false" ht="15" hidden="false" customHeight="false" outlineLevel="0" collapsed="false">
      <c r="A168" s="5" t="s">
        <v>295</v>
      </c>
      <c r="B168" s="5" t="s">
        <v>282</v>
      </c>
      <c r="C168" s="5" t="s">
        <v>283</v>
      </c>
      <c r="D168" s="5" t="s">
        <v>284</v>
      </c>
      <c r="E168" s="5" t="s">
        <v>285</v>
      </c>
      <c r="F168" s="5" t="s">
        <v>34</v>
      </c>
      <c r="G168" s="5" t="s">
        <v>35</v>
      </c>
      <c r="H168" s="6" t="n">
        <v>51300</v>
      </c>
      <c r="I168" s="6" t="n">
        <v>2600</v>
      </c>
      <c r="J168" s="6" t="n">
        <v>9200</v>
      </c>
      <c r="K168" s="6" t="n">
        <v>63100</v>
      </c>
      <c r="L168" s="5" t="n">
        <v>5</v>
      </c>
      <c r="M168" s="5" t="s">
        <v>296</v>
      </c>
      <c r="N168" s="5" t="n">
        <v>2022</v>
      </c>
      <c r="O168" s="7" t="n">
        <v>2.3</v>
      </c>
      <c r="P168" s="5" t="s">
        <v>30</v>
      </c>
      <c r="Q168" s="5" t="s">
        <v>37</v>
      </c>
      <c r="R168" s="5" t="s">
        <v>32</v>
      </c>
      <c r="S168" s="5" t="n">
        <v>1</v>
      </c>
      <c r="T168" s="5" t="n">
        <v>1</v>
      </c>
    </row>
    <row r="169" customFormat="false" ht="15" hidden="false" customHeight="false" outlineLevel="0" collapsed="false">
      <c r="A169" s="8" t="s">
        <v>297</v>
      </c>
      <c r="B169" s="8" t="s">
        <v>282</v>
      </c>
      <c r="C169" s="8" t="s">
        <v>283</v>
      </c>
      <c r="D169" s="8" t="s">
        <v>284</v>
      </c>
      <c r="E169" s="8" t="s">
        <v>285</v>
      </c>
      <c r="F169" s="8" t="s">
        <v>27</v>
      </c>
      <c r="G169" s="8" t="s">
        <v>28</v>
      </c>
      <c r="H169" s="9" t="n">
        <v>47500</v>
      </c>
      <c r="I169" s="9" t="n">
        <v>0</v>
      </c>
      <c r="J169" s="9" t="n">
        <v>8600</v>
      </c>
      <c r="K169" s="9" t="n">
        <v>56100</v>
      </c>
      <c r="L169" s="8" t="n">
        <v>0</v>
      </c>
      <c r="M169" s="8" t="s">
        <v>138</v>
      </c>
      <c r="N169" s="8" t="n">
        <v>2019</v>
      </c>
      <c r="O169" s="10" t="n">
        <v>5.9</v>
      </c>
      <c r="P169" s="8" t="s">
        <v>54</v>
      </c>
      <c r="Q169" s="8" t="s">
        <v>57</v>
      </c>
      <c r="R169" s="8" t="s">
        <v>40</v>
      </c>
      <c r="S169" s="8" t="n">
        <v>1</v>
      </c>
      <c r="T169" s="8" t="n">
        <v>1</v>
      </c>
    </row>
    <row r="170" customFormat="false" ht="15" hidden="false" customHeight="false" outlineLevel="0" collapsed="false">
      <c r="A170" s="5" t="s">
        <v>298</v>
      </c>
      <c r="B170" s="5" t="s">
        <v>282</v>
      </c>
      <c r="C170" s="5" t="s">
        <v>283</v>
      </c>
      <c r="D170" s="5" t="s">
        <v>284</v>
      </c>
      <c r="E170" s="5" t="s">
        <v>285</v>
      </c>
      <c r="F170" s="5" t="s">
        <v>42</v>
      </c>
      <c r="G170" s="5" t="s">
        <v>43</v>
      </c>
      <c r="H170" s="6" t="n">
        <v>74700</v>
      </c>
      <c r="I170" s="6" t="n">
        <v>6000</v>
      </c>
      <c r="J170" s="6" t="n">
        <v>13400</v>
      </c>
      <c r="K170" s="6" t="n">
        <v>94100</v>
      </c>
      <c r="L170" s="5" t="n">
        <v>8</v>
      </c>
      <c r="M170" s="5" t="s">
        <v>95</v>
      </c>
      <c r="N170" s="5" t="n">
        <v>2019</v>
      </c>
      <c r="O170" s="7" t="n">
        <v>5.3</v>
      </c>
      <c r="P170" s="5" t="s">
        <v>30</v>
      </c>
      <c r="Q170" s="5" t="s">
        <v>48</v>
      </c>
      <c r="R170" s="5" t="s">
        <v>40</v>
      </c>
      <c r="S170" s="5" t="n">
        <v>1</v>
      </c>
      <c r="T170" s="5" t="n">
        <v>1</v>
      </c>
    </row>
    <row r="171" customFormat="false" ht="15" hidden="false" customHeight="false" outlineLevel="0" collapsed="false">
      <c r="A171" s="8" t="s">
        <v>299</v>
      </c>
      <c r="B171" s="8" t="s">
        <v>300</v>
      </c>
      <c r="C171" s="8" t="s">
        <v>301</v>
      </c>
      <c r="D171" s="8" t="s">
        <v>284</v>
      </c>
      <c r="E171" s="8" t="s">
        <v>285</v>
      </c>
      <c r="F171" s="8" t="s">
        <v>42</v>
      </c>
      <c r="G171" s="8" t="s">
        <v>43</v>
      </c>
      <c r="H171" s="9" t="n">
        <v>68100</v>
      </c>
      <c r="I171" s="9" t="n">
        <v>5400</v>
      </c>
      <c r="J171" s="9" t="n">
        <v>12300</v>
      </c>
      <c r="K171" s="9" t="n">
        <v>85800</v>
      </c>
      <c r="L171" s="8" t="n">
        <v>8</v>
      </c>
      <c r="M171" s="8" t="s">
        <v>230</v>
      </c>
      <c r="N171" s="8" t="n">
        <v>2020</v>
      </c>
      <c r="O171" s="10" t="n">
        <v>4.2</v>
      </c>
      <c r="P171" s="8" t="s">
        <v>30</v>
      </c>
      <c r="Q171" s="8" t="s">
        <v>48</v>
      </c>
      <c r="R171" s="8" t="s">
        <v>40</v>
      </c>
      <c r="S171" s="8" t="n">
        <v>0</v>
      </c>
      <c r="T171" s="8" t="n">
        <v>1</v>
      </c>
    </row>
    <row r="172" customFormat="false" ht="15" hidden="false" customHeight="false" outlineLevel="0" collapsed="false">
      <c r="A172" s="5" t="s">
        <v>302</v>
      </c>
      <c r="B172" s="5" t="s">
        <v>300</v>
      </c>
      <c r="C172" s="5" t="s">
        <v>301</v>
      </c>
      <c r="D172" s="5" t="s">
        <v>284</v>
      </c>
      <c r="E172" s="5" t="s">
        <v>285</v>
      </c>
      <c r="F172" s="5" t="s">
        <v>93</v>
      </c>
      <c r="G172" s="5" t="s">
        <v>94</v>
      </c>
      <c r="H172" s="6" t="n">
        <v>89200</v>
      </c>
      <c r="I172" s="6" t="n">
        <v>13400</v>
      </c>
      <c r="J172" s="6" t="n">
        <v>16100</v>
      </c>
      <c r="K172" s="6" t="n">
        <v>118700</v>
      </c>
      <c r="L172" s="5" t="n">
        <v>15</v>
      </c>
      <c r="M172" s="5" t="s">
        <v>135</v>
      </c>
      <c r="N172" s="5" t="n">
        <v>2019</v>
      </c>
      <c r="O172" s="7" t="n">
        <v>5.7</v>
      </c>
      <c r="P172" s="5" t="s">
        <v>82</v>
      </c>
      <c r="Q172" s="5" t="s">
        <v>31</v>
      </c>
      <c r="R172" s="5" t="s">
        <v>32</v>
      </c>
      <c r="S172" s="5" t="n">
        <v>1</v>
      </c>
      <c r="T172" s="5" t="n">
        <v>0</v>
      </c>
    </row>
    <row r="173" customFormat="false" ht="15" hidden="false" customHeight="false" outlineLevel="0" collapsed="false">
      <c r="A173" s="8" t="s">
        <v>303</v>
      </c>
      <c r="B173" s="8" t="s">
        <v>300</v>
      </c>
      <c r="C173" s="8" t="s">
        <v>301</v>
      </c>
      <c r="D173" s="8" t="s">
        <v>284</v>
      </c>
      <c r="E173" s="8" t="s">
        <v>285</v>
      </c>
      <c r="F173" s="8" t="s">
        <v>79</v>
      </c>
      <c r="G173" s="8" t="s">
        <v>80</v>
      </c>
      <c r="H173" s="9" t="n">
        <v>82400</v>
      </c>
      <c r="I173" s="9" t="n">
        <v>9900</v>
      </c>
      <c r="J173" s="9" t="n">
        <v>14800</v>
      </c>
      <c r="K173" s="9" t="n">
        <v>107100</v>
      </c>
      <c r="L173" s="8" t="n">
        <v>12</v>
      </c>
      <c r="M173" s="8" t="s">
        <v>304</v>
      </c>
      <c r="N173" s="8" t="n">
        <v>2021</v>
      </c>
      <c r="O173" s="10" t="n">
        <v>3.9</v>
      </c>
      <c r="P173" s="8" t="s">
        <v>30</v>
      </c>
      <c r="Q173" s="8" t="s">
        <v>57</v>
      </c>
      <c r="R173" s="8" t="s">
        <v>40</v>
      </c>
      <c r="S173" s="8" t="n">
        <v>1</v>
      </c>
      <c r="T173" s="8" t="n">
        <v>1</v>
      </c>
    </row>
    <row r="174" customFormat="false" ht="15" hidden="false" customHeight="false" outlineLevel="0" collapsed="false">
      <c r="A174" s="5" t="s">
        <v>305</v>
      </c>
      <c r="B174" s="5" t="s">
        <v>300</v>
      </c>
      <c r="C174" s="5" t="s">
        <v>301</v>
      </c>
      <c r="D174" s="5" t="s">
        <v>284</v>
      </c>
      <c r="E174" s="5" t="s">
        <v>285</v>
      </c>
      <c r="F174" s="5" t="s">
        <v>64</v>
      </c>
      <c r="G174" s="5" t="s">
        <v>65</v>
      </c>
      <c r="H174" s="6" t="n">
        <v>142000</v>
      </c>
      <c r="I174" s="6" t="n">
        <v>28400</v>
      </c>
      <c r="J174" s="6" t="n">
        <v>25600</v>
      </c>
      <c r="K174" s="6" t="n">
        <v>196000</v>
      </c>
      <c r="L174" s="5" t="n">
        <v>20</v>
      </c>
      <c r="M174" s="5" t="s">
        <v>51</v>
      </c>
      <c r="N174" s="5" t="n">
        <v>2023</v>
      </c>
      <c r="O174" s="7" t="n">
        <v>1.3</v>
      </c>
      <c r="P174" s="5" t="s">
        <v>30</v>
      </c>
      <c r="Q174" s="5" t="s">
        <v>37</v>
      </c>
      <c r="R174" s="5" t="s">
        <v>49</v>
      </c>
      <c r="S174" s="5" t="n">
        <v>0</v>
      </c>
      <c r="T174" s="5" t="n">
        <v>1</v>
      </c>
    </row>
    <row r="175" customFormat="false" ht="15" hidden="false" customHeight="false" outlineLevel="0" collapsed="false">
      <c r="A175" s="8" t="s">
        <v>306</v>
      </c>
      <c r="B175" s="8" t="s">
        <v>300</v>
      </c>
      <c r="C175" s="8" t="s">
        <v>301</v>
      </c>
      <c r="D175" s="8" t="s">
        <v>284</v>
      </c>
      <c r="E175" s="8" t="s">
        <v>285</v>
      </c>
      <c r="F175" s="8" t="s">
        <v>93</v>
      </c>
      <c r="G175" s="8" t="s">
        <v>94</v>
      </c>
      <c r="H175" s="9" t="n">
        <v>101100</v>
      </c>
      <c r="I175" s="9" t="n">
        <v>15200</v>
      </c>
      <c r="J175" s="9" t="n">
        <v>18200</v>
      </c>
      <c r="K175" s="9" t="n">
        <v>134500</v>
      </c>
      <c r="L175" s="8" t="n">
        <v>15</v>
      </c>
      <c r="M175" s="8" t="s">
        <v>115</v>
      </c>
      <c r="N175" s="8" t="n">
        <v>2023</v>
      </c>
      <c r="O175" s="10" t="n">
        <v>1.7</v>
      </c>
      <c r="P175" s="8" t="s">
        <v>30</v>
      </c>
      <c r="Q175" s="8" t="s">
        <v>45</v>
      </c>
      <c r="R175" s="8" t="s">
        <v>40</v>
      </c>
      <c r="S175" s="8" t="n">
        <v>1</v>
      </c>
      <c r="T175" s="8" t="n">
        <v>1</v>
      </c>
    </row>
    <row r="176" customFormat="false" ht="15" hidden="false" customHeight="false" outlineLevel="0" collapsed="false">
      <c r="A176" s="5" t="s">
        <v>307</v>
      </c>
      <c r="B176" s="5" t="s">
        <v>300</v>
      </c>
      <c r="C176" s="5" t="s">
        <v>301</v>
      </c>
      <c r="D176" s="5" t="s">
        <v>284</v>
      </c>
      <c r="E176" s="5" t="s">
        <v>285</v>
      </c>
      <c r="F176" s="5" t="s">
        <v>42</v>
      </c>
      <c r="G176" s="5" t="s">
        <v>43</v>
      </c>
      <c r="H176" s="6" t="n">
        <v>58000</v>
      </c>
      <c r="I176" s="6" t="n">
        <v>4600</v>
      </c>
      <c r="J176" s="6" t="n">
        <v>10400</v>
      </c>
      <c r="K176" s="6" t="n">
        <v>73000</v>
      </c>
      <c r="L176" s="5" t="n">
        <v>8</v>
      </c>
      <c r="M176" s="5" t="s">
        <v>201</v>
      </c>
      <c r="N176" s="5" t="n">
        <v>2022</v>
      </c>
      <c r="O176" s="7" t="n">
        <v>2.8</v>
      </c>
      <c r="P176" s="5" t="s">
        <v>54</v>
      </c>
      <c r="Q176" s="5" t="s">
        <v>57</v>
      </c>
      <c r="R176" s="5" t="s">
        <v>40</v>
      </c>
      <c r="S176" s="5" t="n">
        <v>1</v>
      </c>
      <c r="T176" s="5" t="n">
        <v>1</v>
      </c>
    </row>
    <row r="177" customFormat="false" ht="15" hidden="false" customHeight="false" outlineLevel="0" collapsed="false">
      <c r="A177" s="8" t="s">
        <v>308</v>
      </c>
      <c r="B177" s="8" t="s">
        <v>300</v>
      </c>
      <c r="C177" s="8" t="s">
        <v>301</v>
      </c>
      <c r="D177" s="8" t="s">
        <v>284</v>
      </c>
      <c r="E177" s="8" t="s">
        <v>285</v>
      </c>
      <c r="F177" s="8" t="s">
        <v>34</v>
      </c>
      <c r="G177" s="8" t="s">
        <v>35</v>
      </c>
      <c r="H177" s="9" t="n">
        <v>47300</v>
      </c>
      <c r="I177" s="9" t="n">
        <v>2400</v>
      </c>
      <c r="J177" s="9" t="n">
        <v>8500</v>
      </c>
      <c r="K177" s="9" t="n">
        <v>58200</v>
      </c>
      <c r="L177" s="8" t="n">
        <v>5</v>
      </c>
      <c r="M177" s="8" t="s">
        <v>196</v>
      </c>
      <c r="N177" s="8" t="n">
        <v>2023</v>
      </c>
      <c r="O177" s="10" t="n">
        <v>1.1</v>
      </c>
      <c r="P177" s="8" t="s">
        <v>30</v>
      </c>
      <c r="Q177" s="8" t="s">
        <v>75</v>
      </c>
      <c r="R177" s="8" t="s">
        <v>49</v>
      </c>
      <c r="S177" s="8" t="n">
        <v>1</v>
      </c>
      <c r="T177" s="8" t="n">
        <v>1</v>
      </c>
    </row>
    <row r="178" customFormat="false" ht="15" hidden="false" customHeight="false" outlineLevel="0" collapsed="false">
      <c r="A178" s="5" t="s">
        <v>309</v>
      </c>
      <c r="B178" s="5" t="s">
        <v>300</v>
      </c>
      <c r="C178" s="5" t="s">
        <v>301</v>
      </c>
      <c r="D178" s="5" t="s">
        <v>284</v>
      </c>
      <c r="E178" s="5" t="s">
        <v>285</v>
      </c>
      <c r="F178" s="5" t="s">
        <v>79</v>
      </c>
      <c r="G178" s="5" t="s">
        <v>80</v>
      </c>
      <c r="H178" s="6" t="n">
        <v>83300</v>
      </c>
      <c r="I178" s="6" t="n">
        <v>10000</v>
      </c>
      <c r="J178" s="6" t="n">
        <v>15000</v>
      </c>
      <c r="K178" s="6" t="n">
        <v>108300</v>
      </c>
      <c r="L178" s="5" t="n">
        <v>12</v>
      </c>
      <c r="M178" s="5" t="s">
        <v>286</v>
      </c>
      <c r="N178" s="5" t="n">
        <v>2019</v>
      </c>
      <c r="O178" s="7" t="n">
        <v>5.4</v>
      </c>
      <c r="P178" s="5" t="s">
        <v>30</v>
      </c>
      <c r="Q178" s="5" t="s">
        <v>45</v>
      </c>
      <c r="R178" s="5" t="s">
        <v>32</v>
      </c>
      <c r="S178" s="5" t="n">
        <v>0</v>
      </c>
      <c r="T178" s="5" t="n">
        <v>1</v>
      </c>
    </row>
    <row r="179" customFormat="false" ht="15" hidden="false" customHeight="false" outlineLevel="0" collapsed="false">
      <c r="A179" s="8" t="s">
        <v>310</v>
      </c>
      <c r="B179" s="8" t="s">
        <v>311</v>
      </c>
      <c r="C179" s="8" t="s">
        <v>312</v>
      </c>
      <c r="D179" s="8" t="s">
        <v>284</v>
      </c>
      <c r="E179" s="8" t="s">
        <v>285</v>
      </c>
      <c r="F179" s="8" t="s">
        <v>34</v>
      </c>
      <c r="G179" s="8" t="s">
        <v>35</v>
      </c>
      <c r="H179" s="9" t="n">
        <v>73800</v>
      </c>
      <c r="I179" s="9" t="n">
        <v>3700</v>
      </c>
      <c r="J179" s="9" t="n">
        <v>13300</v>
      </c>
      <c r="K179" s="9" t="n">
        <v>90800</v>
      </c>
      <c r="L179" s="8" t="n">
        <v>5</v>
      </c>
      <c r="M179" s="8" t="s">
        <v>203</v>
      </c>
      <c r="N179" s="8" t="n">
        <v>2022</v>
      </c>
      <c r="O179" s="10" t="n">
        <v>2.1</v>
      </c>
      <c r="P179" s="8" t="s">
        <v>30</v>
      </c>
      <c r="Q179" s="8" t="s">
        <v>48</v>
      </c>
      <c r="R179" s="8" t="s">
        <v>40</v>
      </c>
      <c r="S179" s="8" t="n">
        <v>1</v>
      </c>
      <c r="T179" s="8" t="n">
        <v>1</v>
      </c>
    </row>
    <row r="180" customFormat="false" ht="15" hidden="false" customHeight="false" outlineLevel="0" collapsed="false">
      <c r="A180" s="5" t="s">
        <v>313</v>
      </c>
      <c r="B180" s="5" t="s">
        <v>311</v>
      </c>
      <c r="C180" s="5" t="s">
        <v>312</v>
      </c>
      <c r="D180" s="5" t="s">
        <v>284</v>
      </c>
      <c r="E180" s="5" t="s">
        <v>285</v>
      </c>
      <c r="F180" s="5" t="s">
        <v>27</v>
      </c>
      <c r="G180" s="5" t="s">
        <v>28</v>
      </c>
      <c r="H180" s="6" t="n">
        <v>62000</v>
      </c>
      <c r="I180" s="6" t="n">
        <v>0</v>
      </c>
      <c r="J180" s="6" t="n">
        <v>11200</v>
      </c>
      <c r="K180" s="6" t="n">
        <v>73200</v>
      </c>
      <c r="L180" s="5" t="n">
        <v>0</v>
      </c>
      <c r="M180" s="5" t="s">
        <v>115</v>
      </c>
      <c r="N180" s="5" t="n">
        <v>2023</v>
      </c>
      <c r="O180" s="7" t="n">
        <v>1.7</v>
      </c>
      <c r="P180" s="5" t="s">
        <v>30</v>
      </c>
      <c r="Q180" s="5" t="s">
        <v>45</v>
      </c>
      <c r="R180" s="5" t="s">
        <v>32</v>
      </c>
      <c r="S180" s="5" t="n">
        <v>0</v>
      </c>
      <c r="T180" s="5" t="n">
        <v>1</v>
      </c>
    </row>
    <row r="181" customFormat="false" ht="15" hidden="false" customHeight="false" outlineLevel="0" collapsed="false">
      <c r="A181" s="8" t="s">
        <v>314</v>
      </c>
      <c r="B181" s="8" t="s">
        <v>311</v>
      </c>
      <c r="C181" s="8" t="s">
        <v>312</v>
      </c>
      <c r="D181" s="8" t="s">
        <v>284</v>
      </c>
      <c r="E181" s="8" t="s">
        <v>285</v>
      </c>
      <c r="F181" s="8" t="s">
        <v>42</v>
      </c>
      <c r="G181" s="8" t="s">
        <v>43</v>
      </c>
      <c r="H181" s="9" t="n">
        <v>88400</v>
      </c>
      <c r="I181" s="9" t="n">
        <v>7100</v>
      </c>
      <c r="J181" s="9" t="n">
        <v>15900</v>
      </c>
      <c r="K181" s="9" t="n">
        <v>111400</v>
      </c>
      <c r="L181" s="8" t="n">
        <v>8</v>
      </c>
      <c r="M181" s="8" t="s">
        <v>196</v>
      </c>
      <c r="N181" s="8" t="n">
        <v>2023</v>
      </c>
      <c r="O181" s="10" t="n">
        <v>1.1</v>
      </c>
      <c r="P181" s="8" t="s">
        <v>30</v>
      </c>
      <c r="Q181" s="8" t="s">
        <v>37</v>
      </c>
      <c r="R181" s="8" t="s">
        <v>32</v>
      </c>
      <c r="S181" s="8" t="n">
        <v>1</v>
      </c>
      <c r="T181" s="8" t="n">
        <v>1</v>
      </c>
    </row>
    <row r="182" customFormat="false" ht="15" hidden="false" customHeight="false" outlineLevel="0" collapsed="false">
      <c r="A182" s="5" t="s">
        <v>315</v>
      </c>
      <c r="B182" s="5" t="s">
        <v>311</v>
      </c>
      <c r="C182" s="5" t="s">
        <v>312</v>
      </c>
      <c r="D182" s="5" t="s">
        <v>284</v>
      </c>
      <c r="E182" s="5" t="s">
        <v>285</v>
      </c>
      <c r="F182" s="5" t="s">
        <v>79</v>
      </c>
      <c r="G182" s="5" t="s">
        <v>80</v>
      </c>
      <c r="H182" s="6" t="n">
        <v>124500</v>
      </c>
      <c r="I182" s="6" t="n">
        <v>14900</v>
      </c>
      <c r="J182" s="6" t="n">
        <v>22400</v>
      </c>
      <c r="K182" s="6" t="n">
        <v>161800</v>
      </c>
      <c r="L182" s="5" t="n">
        <v>12</v>
      </c>
      <c r="M182" s="5" t="s">
        <v>316</v>
      </c>
      <c r="N182" s="5" t="n">
        <v>2021</v>
      </c>
      <c r="O182" s="7" t="n">
        <v>3.8</v>
      </c>
      <c r="P182" s="5" t="s">
        <v>30</v>
      </c>
      <c r="Q182" s="5" t="s">
        <v>57</v>
      </c>
      <c r="R182" s="5" t="s">
        <v>49</v>
      </c>
      <c r="S182" s="5" t="n">
        <v>1</v>
      </c>
      <c r="T182" s="5" t="n">
        <v>1</v>
      </c>
    </row>
    <row r="183" customFormat="false" ht="15" hidden="false" customHeight="false" outlineLevel="0" collapsed="false">
      <c r="A183" s="8" t="s">
        <v>317</v>
      </c>
      <c r="B183" s="8" t="s">
        <v>311</v>
      </c>
      <c r="C183" s="8" t="s">
        <v>312</v>
      </c>
      <c r="D183" s="8" t="s">
        <v>284</v>
      </c>
      <c r="E183" s="8" t="s">
        <v>285</v>
      </c>
      <c r="F183" s="8" t="s">
        <v>27</v>
      </c>
      <c r="G183" s="8" t="s">
        <v>28</v>
      </c>
      <c r="H183" s="9" t="n">
        <v>57300</v>
      </c>
      <c r="I183" s="9" t="n">
        <v>0</v>
      </c>
      <c r="J183" s="9" t="n">
        <v>10300</v>
      </c>
      <c r="K183" s="9" t="n">
        <v>67600</v>
      </c>
      <c r="L183" s="8" t="n">
        <v>0</v>
      </c>
      <c r="M183" s="8" t="s">
        <v>77</v>
      </c>
      <c r="N183" s="8" t="n">
        <v>2024</v>
      </c>
      <c r="O183" s="10" t="n">
        <v>0.8</v>
      </c>
      <c r="P183" s="8" t="s">
        <v>82</v>
      </c>
      <c r="Q183" s="8" t="s">
        <v>75</v>
      </c>
      <c r="R183" s="8" t="s">
        <v>32</v>
      </c>
      <c r="S183" s="8" t="n">
        <v>1</v>
      </c>
      <c r="T183" s="8" t="n">
        <v>0</v>
      </c>
    </row>
    <row r="184" customFormat="false" ht="15" hidden="false" customHeight="false" outlineLevel="0" collapsed="false">
      <c r="A184" s="5" t="s">
        <v>318</v>
      </c>
      <c r="B184" s="5" t="s">
        <v>311</v>
      </c>
      <c r="C184" s="5" t="s">
        <v>312</v>
      </c>
      <c r="D184" s="5" t="s">
        <v>284</v>
      </c>
      <c r="E184" s="5" t="s">
        <v>285</v>
      </c>
      <c r="F184" s="5" t="s">
        <v>34</v>
      </c>
      <c r="G184" s="5" t="s">
        <v>35</v>
      </c>
      <c r="H184" s="6" t="n">
        <v>65500</v>
      </c>
      <c r="I184" s="6" t="n">
        <v>3300</v>
      </c>
      <c r="J184" s="6" t="n">
        <v>11800</v>
      </c>
      <c r="K184" s="6" t="n">
        <v>80600</v>
      </c>
      <c r="L184" s="5" t="n">
        <v>5</v>
      </c>
      <c r="M184" s="5" t="s">
        <v>316</v>
      </c>
      <c r="N184" s="5" t="n">
        <v>2021</v>
      </c>
      <c r="O184" s="7" t="n">
        <v>3.8</v>
      </c>
      <c r="P184" s="5" t="s">
        <v>30</v>
      </c>
      <c r="Q184" s="5" t="s">
        <v>75</v>
      </c>
      <c r="R184" s="5" t="s">
        <v>32</v>
      </c>
      <c r="S184" s="5" t="n">
        <v>1</v>
      </c>
      <c r="T184" s="5" t="n">
        <v>1</v>
      </c>
    </row>
    <row r="185" customFormat="false" ht="15" hidden="false" customHeight="false" outlineLevel="0" collapsed="false">
      <c r="A185" s="8" t="s">
        <v>319</v>
      </c>
      <c r="B185" s="8" t="s">
        <v>320</v>
      </c>
      <c r="C185" s="8" t="s">
        <v>284</v>
      </c>
      <c r="D185" s="8" t="s">
        <v>284</v>
      </c>
      <c r="E185" s="8" t="s">
        <v>285</v>
      </c>
      <c r="F185" s="8" t="s">
        <v>27</v>
      </c>
      <c r="G185" s="8" t="s">
        <v>28</v>
      </c>
      <c r="H185" s="9" t="n">
        <v>38200</v>
      </c>
      <c r="I185" s="9" t="n">
        <v>0</v>
      </c>
      <c r="J185" s="9" t="n">
        <v>6900</v>
      </c>
      <c r="K185" s="9" t="n">
        <v>45100</v>
      </c>
      <c r="L185" s="8" t="n">
        <v>0</v>
      </c>
      <c r="M185" s="8" t="s">
        <v>59</v>
      </c>
      <c r="N185" s="8" t="n">
        <v>2019</v>
      </c>
      <c r="O185" s="10" t="n">
        <v>5.1</v>
      </c>
      <c r="P185" s="8" t="s">
        <v>30</v>
      </c>
      <c r="Q185" s="8" t="s">
        <v>57</v>
      </c>
      <c r="R185" s="8" t="s">
        <v>32</v>
      </c>
      <c r="S185" s="8" t="n">
        <v>1</v>
      </c>
      <c r="T185" s="8" t="n">
        <v>1</v>
      </c>
    </row>
    <row r="186" customFormat="false" ht="15" hidden="false" customHeight="false" outlineLevel="0" collapsed="false">
      <c r="A186" s="5" t="s">
        <v>321</v>
      </c>
      <c r="B186" s="5" t="s">
        <v>320</v>
      </c>
      <c r="C186" s="5" t="s">
        <v>284</v>
      </c>
      <c r="D186" s="5" t="s">
        <v>284</v>
      </c>
      <c r="E186" s="5" t="s">
        <v>285</v>
      </c>
      <c r="F186" s="5" t="s">
        <v>34</v>
      </c>
      <c r="G186" s="5" t="s">
        <v>35</v>
      </c>
      <c r="H186" s="6" t="n">
        <v>43100</v>
      </c>
      <c r="I186" s="6" t="n">
        <v>2200</v>
      </c>
      <c r="J186" s="6" t="n">
        <v>7800</v>
      </c>
      <c r="K186" s="6" t="n">
        <v>53100</v>
      </c>
      <c r="L186" s="5" t="n">
        <v>5</v>
      </c>
      <c r="M186" s="5" t="s">
        <v>59</v>
      </c>
      <c r="N186" s="5" t="n">
        <v>2019</v>
      </c>
      <c r="O186" s="7" t="n">
        <v>5.1</v>
      </c>
      <c r="P186" s="5" t="s">
        <v>30</v>
      </c>
      <c r="Q186" s="5" t="s">
        <v>57</v>
      </c>
      <c r="R186" s="5" t="s">
        <v>40</v>
      </c>
      <c r="S186" s="5" t="n">
        <v>1</v>
      </c>
      <c r="T186" s="5" t="n">
        <v>1</v>
      </c>
    </row>
    <row r="187" customFormat="false" ht="15" hidden="false" customHeight="false" outlineLevel="0" collapsed="false">
      <c r="A187" s="8" t="s">
        <v>322</v>
      </c>
      <c r="B187" s="8" t="s">
        <v>320</v>
      </c>
      <c r="C187" s="8" t="s">
        <v>284</v>
      </c>
      <c r="D187" s="8" t="s">
        <v>284</v>
      </c>
      <c r="E187" s="8" t="s">
        <v>285</v>
      </c>
      <c r="F187" s="8" t="s">
        <v>27</v>
      </c>
      <c r="G187" s="8" t="s">
        <v>28</v>
      </c>
      <c r="H187" s="9" t="n">
        <v>36600</v>
      </c>
      <c r="I187" s="9" t="n">
        <v>0</v>
      </c>
      <c r="J187" s="9" t="n">
        <v>6600</v>
      </c>
      <c r="K187" s="9" t="n">
        <v>43200</v>
      </c>
      <c r="L187" s="8" t="n">
        <v>0</v>
      </c>
      <c r="M187" s="8" t="s">
        <v>140</v>
      </c>
      <c r="N187" s="8" t="n">
        <v>2020</v>
      </c>
      <c r="O187" s="10" t="n">
        <v>4.5</v>
      </c>
      <c r="P187" s="8" t="s">
        <v>30</v>
      </c>
      <c r="Q187" s="8" t="s">
        <v>45</v>
      </c>
      <c r="R187" s="8" t="s">
        <v>32</v>
      </c>
      <c r="S187" s="8" t="n">
        <v>1</v>
      </c>
      <c r="T187" s="8" t="n">
        <v>1</v>
      </c>
    </row>
    <row r="188" customFormat="false" ht="15" hidden="false" customHeight="false" outlineLevel="0" collapsed="false">
      <c r="A188" s="5" t="s">
        <v>323</v>
      </c>
      <c r="B188" s="5" t="s">
        <v>320</v>
      </c>
      <c r="C188" s="5" t="s">
        <v>284</v>
      </c>
      <c r="D188" s="5" t="s">
        <v>284</v>
      </c>
      <c r="E188" s="5" t="s">
        <v>285</v>
      </c>
      <c r="F188" s="5" t="s">
        <v>27</v>
      </c>
      <c r="G188" s="5" t="s">
        <v>28</v>
      </c>
      <c r="H188" s="6" t="n">
        <v>38500</v>
      </c>
      <c r="I188" s="6" t="n">
        <v>0</v>
      </c>
      <c r="J188" s="6" t="n">
        <v>6900</v>
      </c>
      <c r="K188" s="6" t="n">
        <v>45400</v>
      </c>
      <c r="L188" s="5" t="n">
        <v>0</v>
      </c>
      <c r="M188" s="5" t="s">
        <v>324</v>
      </c>
      <c r="N188" s="5" t="n">
        <v>2019</v>
      </c>
      <c r="O188" s="7" t="n">
        <v>5.8</v>
      </c>
      <c r="P188" s="5" t="s">
        <v>30</v>
      </c>
      <c r="Q188" s="5" t="s">
        <v>37</v>
      </c>
      <c r="R188" s="5" t="s">
        <v>49</v>
      </c>
      <c r="S188" s="5" t="n">
        <v>0</v>
      </c>
      <c r="T188" s="5" t="n">
        <v>1</v>
      </c>
    </row>
    <row r="189" customFormat="false" ht="15" hidden="false" customHeight="false" outlineLevel="0" collapsed="false">
      <c r="A189" s="8" t="s">
        <v>325</v>
      </c>
      <c r="B189" s="8" t="s">
        <v>320</v>
      </c>
      <c r="C189" s="8" t="s">
        <v>284</v>
      </c>
      <c r="D189" s="8" t="s">
        <v>284</v>
      </c>
      <c r="E189" s="8" t="s">
        <v>285</v>
      </c>
      <c r="F189" s="8" t="s">
        <v>79</v>
      </c>
      <c r="G189" s="8" t="s">
        <v>80</v>
      </c>
      <c r="H189" s="9" t="n">
        <v>68900</v>
      </c>
      <c r="I189" s="9" t="n">
        <v>8300</v>
      </c>
      <c r="J189" s="9" t="n">
        <v>12400</v>
      </c>
      <c r="K189" s="9" t="n">
        <v>89600</v>
      </c>
      <c r="L189" s="8" t="n">
        <v>12</v>
      </c>
      <c r="M189" s="8" t="s">
        <v>257</v>
      </c>
      <c r="N189" s="8" t="n">
        <v>2019</v>
      </c>
      <c r="O189" s="10" t="n">
        <v>5.8</v>
      </c>
      <c r="P189" s="8" t="s">
        <v>54</v>
      </c>
      <c r="Q189" s="8" t="s">
        <v>57</v>
      </c>
      <c r="R189" s="8" t="s">
        <v>49</v>
      </c>
      <c r="S189" s="8" t="n">
        <v>1</v>
      </c>
      <c r="T189" s="8" t="n">
        <v>1</v>
      </c>
    </row>
    <row r="190" customFormat="false" ht="15" hidden="false" customHeight="false" outlineLevel="0" collapsed="false">
      <c r="A190" s="5" t="s">
        <v>326</v>
      </c>
      <c r="B190" s="5" t="s">
        <v>320</v>
      </c>
      <c r="C190" s="5" t="s">
        <v>284</v>
      </c>
      <c r="D190" s="5" t="s">
        <v>284</v>
      </c>
      <c r="E190" s="5" t="s">
        <v>285</v>
      </c>
      <c r="F190" s="5" t="s">
        <v>34</v>
      </c>
      <c r="G190" s="5" t="s">
        <v>35</v>
      </c>
      <c r="H190" s="6" t="n">
        <v>44200</v>
      </c>
      <c r="I190" s="6" t="n">
        <v>2200</v>
      </c>
      <c r="J190" s="6" t="n">
        <v>8000</v>
      </c>
      <c r="K190" s="6" t="n">
        <v>54400</v>
      </c>
      <c r="L190" s="5" t="n">
        <v>5</v>
      </c>
      <c r="M190" s="5" t="s">
        <v>124</v>
      </c>
      <c r="N190" s="5" t="n">
        <v>2022</v>
      </c>
      <c r="O190" s="7" t="n">
        <v>2.9</v>
      </c>
      <c r="P190" s="5" t="s">
        <v>30</v>
      </c>
      <c r="Q190" s="5" t="s">
        <v>75</v>
      </c>
      <c r="R190" s="5" t="s">
        <v>49</v>
      </c>
      <c r="S190" s="5" t="n">
        <v>1</v>
      </c>
      <c r="T190" s="5" t="n">
        <v>1</v>
      </c>
    </row>
    <row r="191" customFormat="false" ht="15" hidden="false" customHeight="false" outlineLevel="0" collapsed="false">
      <c r="A191" s="8" t="s">
        <v>327</v>
      </c>
      <c r="B191" s="8" t="s">
        <v>320</v>
      </c>
      <c r="C191" s="8" t="s">
        <v>284</v>
      </c>
      <c r="D191" s="8" t="s">
        <v>284</v>
      </c>
      <c r="E191" s="8" t="s">
        <v>285</v>
      </c>
      <c r="F191" s="8" t="s">
        <v>93</v>
      </c>
      <c r="G191" s="8" t="s">
        <v>94</v>
      </c>
      <c r="H191" s="9" t="n">
        <v>92100</v>
      </c>
      <c r="I191" s="9" t="n">
        <v>13800</v>
      </c>
      <c r="J191" s="9" t="n">
        <v>16600</v>
      </c>
      <c r="K191" s="9" t="n">
        <v>122500</v>
      </c>
      <c r="L191" s="8" t="n">
        <v>15</v>
      </c>
      <c r="M191" s="8" t="s">
        <v>61</v>
      </c>
      <c r="N191" s="8" t="n">
        <v>2024</v>
      </c>
      <c r="O191" s="10" t="n">
        <v>0.6</v>
      </c>
      <c r="P191" s="8" t="s">
        <v>82</v>
      </c>
      <c r="Q191" s="8" t="s">
        <v>37</v>
      </c>
      <c r="R191" s="8" t="s">
        <v>40</v>
      </c>
      <c r="S191" s="8" t="n">
        <v>1</v>
      </c>
      <c r="T191" s="8" t="n">
        <v>0</v>
      </c>
    </row>
    <row r="192" customFormat="false" ht="15" hidden="false" customHeight="false" outlineLevel="0" collapsed="false">
      <c r="A192" s="5" t="s">
        <v>328</v>
      </c>
      <c r="B192" s="5" t="s">
        <v>320</v>
      </c>
      <c r="C192" s="5" t="s">
        <v>284</v>
      </c>
      <c r="D192" s="5" t="s">
        <v>284</v>
      </c>
      <c r="E192" s="5" t="s">
        <v>285</v>
      </c>
      <c r="F192" s="5" t="s">
        <v>34</v>
      </c>
      <c r="G192" s="5" t="s">
        <v>35</v>
      </c>
      <c r="H192" s="6" t="n">
        <v>48400</v>
      </c>
      <c r="I192" s="6" t="n">
        <v>2400</v>
      </c>
      <c r="J192" s="6" t="n">
        <v>8700</v>
      </c>
      <c r="K192" s="6" t="n">
        <v>59500</v>
      </c>
      <c r="L192" s="5" t="n">
        <v>5</v>
      </c>
      <c r="M192" s="5" t="s">
        <v>171</v>
      </c>
      <c r="N192" s="5" t="n">
        <v>2020</v>
      </c>
      <c r="O192" s="7" t="n">
        <v>4.4</v>
      </c>
      <c r="P192" s="5" t="s">
        <v>30</v>
      </c>
      <c r="Q192" s="5" t="s">
        <v>57</v>
      </c>
      <c r="R192" s="5" t="s">
        <v>40</v>
      </c>
      <c r="S192" s="5" t="n">
        <v>1</v>
      </c>
      <c r="T192" s="5" t="n">
        <v>1</v>
      </c>
    </row>
    <row r="193" customFormat="false" ht="15" hidden="false" customHeight="false" outlineLevel="0" collapsed="false">
      <c r="A193" s="8" t="s">
        <v>329</v>
      </c>
      <c r="B193" s="8" t="s">
        <v>320</v>
      </c>
      <c r="C193" s="8" t="s">
        <v>284</v>
      </c>
      <c r="D193" s="8" t="s">
        <v>284</v>
      </c>
      <c r="E193" s="8" t="s">
        <v>285</v>
      </c>
      <c r="F193" s="8" t="s">
        <v>42</v>
      </c>
      <c r="G193" s="8" t="s">
        <v>43</v>
      </c>
      <c r="H193" s="9" t="n">
        <v>66300</v>
      </c>
      <c r="I193" s="9" t="n">
        <v>5300</v>
      </c>
      <c r="J193" s="9" t="n">
        <v>11900</v>
      </c>
      <c r="K193" s="9" t="n">
        <v>83500</v>
      </c>
      <c r="L193" s="8" t="n">
        <v>8</v>
      </c>
      <c r="M193" s="8" t="s">
        <v>66</v>
      </c>
      <c r="N193" s="8" t="n">
        <v>2023</v>
      </c>
      <c r="O193" s="10" t="n">
        <v>1.4</v>
      </c>
      <c r="P193" s="8" t="s">
        <v>30</v>
      </c>
      <c r="Q193" s="8" t="s">
        <v>45</v>
      </c>
      <c r="R193" s="8" t="s">
        <v>40</v>
      </c>
      <c r="S193" s="8" t="n">
        <v>1</v>
      </c>
      <c r="T193" s="8" t="n">
        <v>1</v>
      </c>
    </row>
    <row r="194" customFormat="false" ht="15" hidden="false" customHeight="false" outlineLevel="0" collapsed="false">
      <c r="A194" s="5" t="s">
        <v>330</v>
      </c>
      <c r="B194" s="5" t="s">
        <v>320</v>
      </c>
      <c r="C194" s="5" t="s">
        <v>284</v>
      </c>
      <c r="D194" s="5" t="s">
        <v>284</v>
      </c>
      <c r="E194" s="5" t="s">
        <v>285</v>
      </c>
      <c r="F194" s="5" t="s">
        <v>79</v>
      </c>
      <c r="G194" s="5" t="s">
        <v>80</v>
      </c>
      <c r="H194" s="6" t="n">
        <v>75900</v>
      </c>
      <c r="I194" s="6" t="n">
        <v>9100</v>
      </c>
      <c r="J194" s="6" t="n">
        <v>13700</v>
      </c>
      <c r="K194" s="6" t="n">
        <v>98700</v>
      </c>
      <c r="L194" s="5" t="n">
        <v>12</v>
      </c>
      <c r="M194" s="5" t="s">
        <v>304</v>
      </c>
      <c r="N194" s="5" t="n">
        <v>2021</v>
      </c>
      <c r="O194" s="7" t="n">
        <v>3.9</v>
      </c>
      <c r="P194" s="5" t="s">
        <v>30</v>
      </c>
      <c r="Q194" s="5" t="s">
        <v>48</v>
      </c>
      <c r="R194" s="5" t="s">
        <v>40</v>
      </c>
      <c r="S194" s="5" t="n">
        <v>1</v>
      </c>
      <c r="T194" s="5" t="n">
        <v>1</v>
      </c>
    </row>
    <row r="195" customFormat="false" ht="15" hidden="false" customHeight="false" outlineLevel="0" collapsed="false">
      <c r="A195" s="8" t="s">
        <v>331</v>
      </c>
      <c r="B195" s="8" t="s">
        <v>320</v>
      </c>
      <c r="C195" s="8" t="s">
        <v>284</v>
      </c>
      <c r="D195" s="8" t="s">
        <v>284</v>
      </c>
      <c r="E195" s="8" t="s">
        <v>285</v>
      </c>
      <c r="F195" s="8" t="s">
        <v>42</v>
      </c>
      <c r="G195" s="8" t="s">
        <v>43</v>
      </c>
      <c r="H195" s="9" t="n">
        <v>66100</v>
      </c>
      <c r="I195" s="9" t="n">
        <v>5300</v>
      </c>
      <c r="J195" s="9" t="n">
        <v>11900</v>
      </c>
      <c r="K195" s="9" t="n">
        <v>83300</v>
      </c>
      <c r="L195" s="8" t="n">
        <v>8</v>
      </c>
      <c r="M195" s="8" t="s">
        <v>47</v>
      </c>
      <c r="N195" s="8" t="n">
        <v>2022</v>
      </c>
      <c r="O195" s="10" t="n">
        <v>3</v>
      </c>
      <c r="P195" s="8" t="s">
        <v>54</v>
      </c>
      <c r="Q195" s="8" t="s">
        <v>57</v>
      </c>
      <c r="R195" s="8" t="s">
        <v>40</v>
      </c>
      <c r="S195" s="8" t="n">
        <v>1</v>
      </c>
      <c r="T195" s="8" t="n">
        <v>1</v>
      </c>
    </row>
    <row r="196" customFormat="false" ht="15" hidden="false" customHeight="false" outlineLevel="0" collapsed="false">
      <c r="A196" s="5" t="s">
        <v>332</v>
      </c>
      <c r="B196" s="5" t="s">
        <v>320</v>
      </c>
      <c r="C196" s="5" t="s">
        <v>284</v>
      </c>
      <c r="D196" s="5" t="s">
        <v>284</v>
      </c>
      <c r="E196" s="5" t="s">
        <v>285</v>
      </c>
      <c r="F196" s="5" t="s">
        <v>34</v>
      </c>
      <c r="G196" s="5" t="s">
        <v>35</v>
      </c>
      <c r="H196" s="6" t="n">
        <v>45500</v>
      </c>
      <c r="I196" s="6" t="n">
        <v>2300</v>
      </c>
      <c r="J196" s="6" t="n">
        <v>8200</v>
      </c>
      <c r="K196" s="6" t="n">
        <v>56000</v>
      </c>
      <c r="L196" s="5" t="n">
        <v>5</v>
      </c>
      <c r="M196" s="5" t="s">
        <v>81</v>
      </c>
      <c r="N196" s="5" t="n">
        <v>2023</v>
      </c>
      <c r="O196" s="7" t="n">
        <v>1.5</v>
      </c>
      <c r="P196" s="5" t="s">
        <v>30</v>
      </c>
      <c r="Q196" s="5" t="s">
        <v>31</v>
      </c>
      <c r="R196" s="5" t="s">
        <v>40</v>
      </c>
      <c r="S196" s="5" t="n">
        <v>1</v>
      </c>
      <c r="T196" s="5" t="n">
        <v>1</v>
      </c>
    </row>
    <row r="197" customFormat="false" ht="15" hidden="false" customHeight="false" outlineLevel="0" collapsed="false">
      <c r="A197" s="8" t="s">
        <v>333</v>
      </c>
      <c r="B197" s="8" t="s">
        <v>320</v>
      </c>
      <c r="C197" s="8" t="s">
        <v>284</v>
      </c>
      <c r="D197" s="8" t="s">
        <v>284</v>
      </c>
      <c r="E197" s="8" t="s">
        <v>285</v>
      </c>
      <c r="F197" s="8" t="s">
        <v>34</v>
      </c>
      <c r="G197" s="8" t="s">
        <v>35</v>
      </c>
      <c r="H197" s="9" t="n">
        <v>47300</v>
      </c>
      <c r="I197" s="9" t="n">
        <v>2400</v>
      </c>
      <c r="J197" s="9" t="n">
        <v>8500</v>
      </c>
      <c r="K197" s="9" t="n">
        <v>58200</v>
      </c>
      <c r="L197" s="8" t="n">
        <v>5</v>
      </c>
      <c r="M197" s="8" t="s">
        <v>334</v>
      </c>
      <c r="N197" s="8" t="n">
        <v>2024</v>
      </c>
      <c r="O197" s="10" t="n">
        <v>0.3</v>
      </c>
      <c r="P197" s="8" t="s">
        <v>30</v>
      </c>
      <c r="Q197" s="8" t="s">
        <v>45</v>
      </c>
      <c r="R197" s="8" t="s">
        <v>32</v>
      </c>
      <c r="S197" s="8" t="n">
        <v>1</v>
      </c>
      <c r="T197" s="8" t="n">
        <v>1</v>
      </c>
    </row>
    <row r="198" customFormat="false" ht="15" hidden="false" customHeight="false" outlineLevel="0" collapsed="false">
      <c r="A198" s="5" t="s">
        <v>335</v>
      </c>
      <c r="B198" s="5" t="s">
        <v>320</v>
      </c>
      <c r="C198" s="5" t="s">
        <v>284</v>
      </c>
      <c r="D198" s="5" t="s">
        <v>284</v>
      </c>
      <c r="E198" s="5" t="s">
        <v>285</v>
      </c>
      <c r="F198" s="5" t="s">
        <v>79</v>
      </c>
      <c r="G198" s="5" t="s">
        <v>80</v>
      </c>
      <c r="H198" s="6" t="n">
        <v>80000</v>
      </c>
      <c r="I198" s="6" t="n">
        <v>9600</v>
      </c>
      <c r="J198" s="6" t="n">
        <v>14400</v>
      </c>
      <c r="K198" s="6" t="n">
        <v>104000</v>
      </c>
      <c r="L198" s="5" t="n">
        <v>12</v>
      </c>
      <c r="M198" s="5" t="s">
        <v>230</v>
      </c>
      <c r="N198" s="5" t="n">
        <v>2020</v>
      </c>
      <c r="O198" s="7" t="n">
        <v>4.2</v>
      </c>
      <c r="P198" s="5" t="s">
        <v>30</v>
      </c>
      <c r="Q198" s="5" t="s">
        <v>31</v>
      </c>
      <c r="R198" s="5" t="s">
        <v>32</v>
      </c>
      <c r="S198" s="5" t="n">
        <v>1</v>
      </c>
      <c r="T198" s="5" t="n">
        <v>1</v>
      </c>
    </row>
    <row r="199" customFormat="false" ht="15" hidden="false" customHeight="false" outlineLevel="0" collapsed="false">
      <c r="A199" s="8" t="s">
        <v>336</v>
      </c>
      <c r="B199" s="8" t="s">
        <v>320</v>
      </c>
      <c r="C199" s="8" t="s">
        <v>284</v>
      </c>
      <c r="D199" s="8" t="s">
        <v>284</v>
      </c>
      <c r="E199" s="8" t="s">
        <v>285</v>
      </c>
      <c r="F199" s="8" t="s">
        <v>42</v>
      </c>
      <c r="G199" s="8" t="s">
        <v>43</v>
      </c>
      <c r="H199" s="9" t="n">
        <v>55600</v>
      </c>
      <c r="I199" s="9" t="n">
        <v>4400</v>
      </c>
      <c r="J199" s="9" t="n">
        <v>10000</v>
      </c>
      <c r="K199" s="9" t="n">
        <v>70000</v>
      </c>
      <c r="L199" s="8" t="n">
        <v>8</v>
      </c>
      <c r="M199" s="8" t="s">
        <v>68</v>
      </c>
      <c r="N199" s="8" t="n">
        <v>2021</v>
      </c>
      <c r="O199" s="10" t="n">
        <v>3.2</v>
      </c>
      <c r="P199" s="8" t="s">
        <v>30</v>
      </c>
      <c r="Q199" s="8" t="s">
        <v>57</v>
      </c>
      <c r="R199" s="8" t="s">
        <v>49</v>
      </c>
      <c r="S199" s="8" t="n">
        <v>0</v>
      </c>
      <c r="T199" s="8" t="n">
        <v>1</v>
      </c>
    </row>
    <row r="200" customFormat="false" ht="15" hidden="false" customHeight="false" outlineLevel="0" collapsed="false">
      <c r="A200" s="5" t="s">
        <v>337</v>
      </c>
      <c r="B200" s="5" t="s">
        <v>320</v>
      </c>
      <c r="C200" s="5" t="s">
        <v>284</v>
      </c>
      <c r="D200" s="5" t="s">
        <v>284</v>
      </c>
      <c r="E200" s="5" t="s">
        <v>285</v>
      </c>
      <c r="F200" s="5" t="s">
        <v>42</v>
      </c>
      <c r="G200" s="5" t="s">
        <v>43</v>
      </c>
      <c r="H200" s="6" t="n">
        <v>66000</v>
      </c>
      <c r="I200" s="6" t="n">
        <v>5300</v>
      </c>
      <c r="J200" s="6" t="n">
        <v>11900</v>
      </c>
      <c r="K200" s="6" t="n">
        <v>83200</v>
      </c>
      <c r="L200" s="5" t="n">
        <v>8</v>
      </c>
      <c r="M200" s="5" t="s">
        <v>85</v>
      </c>
      <c r="N200" s="5" t="n">
        <v>2022</v>
      </c>
      <c r="O200" s="7" t="n">
        <v>2.5</v>
      </c>
      <c r="P200" s="5" t="s">
        <v>30</v>
      </c>
      <c r="Q200" s="5" t="s">
        <v>75</v>
      </c>
      <c r="R200" s="5" t="s">
        <v>40</v>
      </c>
      <c r="S200" s="5" t="n">
        <v>0</v>
      </c>
      <c r="T200" s="5" t="n">
        <v>1</v>
      </c>
    </row>
    <row r="201" customFormat="false" ht="15" hidden="false" customHeight="false" outlineLevel="0" collapsed="false">
      <c r="A201" s="8" t="s">
        <v>338</v>
      </c>
      <c r="B201" s="8" t="s">
        <v>320</v>
      </c>
      <c r="C201" s="8" t="s">
        <v>284</v>
      </c>
      <c r="D201" s="8" t="s">
        <v>284</v>
      </c>
      <c r="E201" s="8" t="s">
        <v>285</v>
      </c>
      <c r="F201" s="8" t="s">
        <v>93</v>
      </c>
      <c r="G201" s="8" t="s">
        <v>94</v>
      </c>
      <c r="H201" s="9" t="n">
        <v>97400</v>
      </c>
      <c r="I201" s="9" t="n">
        <v>14600</v>
      </c>
      <c r="J201" s="9" t="n">
        <v>17500</v>
      </c>
      <c r="K201" s="9" t="n">
        <v>129500</v>
      </c>
      <c r="L201" s="8" t="n">
        <v>15</v>
      </c>
      <c r="M201" s="8" t="s">
        <v>316</v>
      </c>
      <c r="N201" s="8" t="n">
        <v>2021</v>
      </c>
      <c r="O201" s="10" t="n">
        <v>3.8</v>
      </c>
      <c r="P201" s="8" t="s">
        <v>30</v>
      </c>
      <c r="Q201" s="8" t="s">
        <v>75</v>
      </c>
      <c r="R201" s="8" t="s">
        <v>40</v>
      </c>
      <c r="S201" s="8" t="n">
        <v>0</v>
      </c>
      <c r="T201" s="8" t="n">
        <v>1</v>
      </c>
    </row>
    <row r="202" customFormat="false" ht="15" hidden="false" customHeight="false" outlineLevel="0" collapsed="false">
      <c r="A202" s="5" t="s">
        <v>339</v>
      </c>
      <c r="B202" s="5" t="s">
        <v>320</v>
      </c>
      <c r="C202" s="5" t="s">
        <v>284</v>
      </c>
      <c r="D202" s="5" t="s">
        <v>284</v>
      </c>
      <c r="E202" s="5" t="s">
        <v>285</v>
      </c>
      <c r="F202" s="5" t="s">
        <v>97</v>
      </c>
      <c r="G202" s="5" t="s">
        <v>98</v>
      </c>
      <c r="H202" s="6" t="n">
        <v>174100</v>
      </c>
      <c r="I202" s="6" t="n">
        <v>43500</v>
      </c>
      <c r="J202" s="6" t="n">
        <v>31300</v>
      </c>
      <c r="K202" s="6" t="n">
        <v>248900</v>
      </c>
      <c r="L202" s="5" t="n">
        <v>25</v>
      </c>
      <c r="M202" s="5" t="s">
        <v>257</v>
      </c>
      <c r="N202" s="5" t="n">
        <v>2019</v>
      </c>
      <c r="O202" s="7" t="n">
        <v>5.8</v>
      </c>
      <c r="P202" s="5" t="s">
        <v>30</v>
      </c>
      <c r="Q202" s="5" t="s">
        <v>75</v>
      </c>
      <c r="R202" s="5" t="s">
        <v>32</v>
      </c>
      <c r="S202" s="5" t="n">
        <v>1</v>
      </c>
      <c r="T202" s="5" t="n">
        <v>1</v>
      </c>
    </row>
    <row r="203" customFormat="false" ht="15" hidden="false" customHeight="false" outlineLevel="0" collapsed="false">
      <c r="A203" s="8" t="s">
        <v>340</v>
      </c>
      <c r="B203" s="8" t="s">
        <v>320</v>
      </c>
      <c r="C203" s="8" t="s">
        <v>284</v>
      </c>
      <c r="D203" s="8" t="s">
        <v>284</v>
      </c>
      <c r="E203" s="8" t="s">
        <v>285</v>
      </c>
      <c r="F203" s="8" t="s">
        <v>34</v>
      </c>
      <c r="G203" s="8" t="s">
        <v>35</v>
      </c>
      <c r="H203" s="9" t="n">
        <v>41900</v>
      </c>
      <c r="I203" s="9" t="n">
        <v>2100</v>
      </c>
      <c r="J203" s="9" t="n">
        <v>7500</v>
      </c>
      <c r="K203" s="9" t="n">
        <v>51500</v>
      </c>
      <c r="L203" s="8" t="n">
        <v>5</v>
      </c>
      <c r="M203" s="8" t="s">
        <v>101</v>
      </c>
      <c r="N203" s="8" t="n">
        <v>2023</v>
      </c>
      <c r="O203" s="10" t="n">
        <v>1.8</v>
      </c>
      <c r="P203" s="8" t="s">
        <v>82</v>
      </c>
      <c r="Q203" s="8" t="s">
        <v>57</v>
      </c>
      <c r="R203" s="8" t="s">
        <v>49</v>
      </c>
      <c r="S203" s="8" t="n">
        <v>1</v>
      </c>
      <c r="T203" s="8" t="n">
        <v>0</v>
      </c>
    </row>
    <row r="204" customFormat="false" ht="15" hidden="false" customHeight="false" outlineLevel="0" collapsed="false">
      <c r="A204" s="5" t="s">
        <v>341</v>
      </c>
      <c r="B204" s="5" t="s">
        <v>320</v>
      </c>
      <c r="C204" s="5" t="s">
        <v>284</v>
      </c>
      <c r="D204" s="5" t="s">
        <v>284</v>
      </c>
      <c r="E204" s="5" t="s">
        <v>285</v>
      </c>
      <c r="F204" s="5" t="s">
        <v>34</v>
      </c>
      <c r="G204" s="5" t="s">
        <v>35</v>
      </c>
      <c r="H204" s="6" t="n">
        <v>43900</v>
      </c>
      <c r="I204" s="6" t="n">
        <v>2200</v>
      </c>
      <c r="J204" s="6" t="n">
        <v>7900</v>
      </c>
      <c r="K204" s="6" t="n">
        <v>54000</v>
      </c>
      <c r="L204" s="5" t="n">
        <v>5</v>
      </c>
      <c r="M204" s="5" t="s">
        <v>70</v>
      </c>
      <c r="N204" s="5" t="n">
        <v>2024</v>
      </c>
      <c r="O204" s="7" t="n">
        <v>0.9</v>
      </c>
      <c r="P204" s="5" t="s">
        <v>82</v>
      </c>
      <c r="Q204" s="5" t="s">
        <v>31</v>
      </c>
      <c r="R204" s="5" t="s">
        <v>32</v>
      </c>
      <c r="S204" s="5" t="n">
        <v>1</v>
      </c>
      <c r="T204" s="5" t="n">
        <v>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6"/>
  </cols>
  <sheetData>
    <row r="1" customFormat="false" ht="37.5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1.75" hidden="false" customHeight="true" outlineLevel="0" collapsed="false">
      <c r="A4" s="11" t="s">
        <v>344</v>
      </c>
      <c r="B4" s="11"/>
      <c r="C4" s="11"/>
      <c r="D4" s="11"/>
      <c r="E4" s="11"/>
      <c r="F4" s="11"/>
      <c r="G4" s="12" t="s">
        <v>345</v>
      </c>
      <c r="H4" s="12"/>
      <c r="I4" s="12"/>
      <c r="J4" s="12"/>
      <c r="K4" s="12"/>
      <c r="L4" s="12"/>
    </row>
    <row r="5" customFormat="false" ht="24" hidden="false" customHeight="true" outlineLevel="0" collapsed="false">
      <c r="A5" s="13" t="s">
        <v>346</v>
      </c>
      <c r="B5" s="14" t="n">
        <f aca="false">COUNTIF('Workforce Data'!T4:T204,1)</f>
        <v>179</v>
      </c>
      <c r="C5" s="15"/>
      <c r="D5" s="15"/>
      <c r="E5" s="15"/>
      <c r="F5" s="15"/>
      <c r="G5" s="16" t="s">
        <v>347</v>
      </c>
      <c r="H5" s="17" t="n">
        <v>0.1</v>
      </c>
      <c r="I5" s="18" t="s">
        <v>348</v>
      </c>
      <c r="J5" s="18"/>
      <c r="K5" s="18"/>
      <c r="L5" s="18"/>
    </row>
    <row r="6" customFormat="false" ht="24" hidden="false" customHeight="true" outlineLevel="0" collapsed="false">
      <c r="A6" s="19" t="s">
        <v>349</v>
      </c>
      <c r="B6" s="20" t="n">
        <f aca="false">SUMIF('Workforce Data'!T4:T204,1,'Workforce Data'!H4:H204)</f>
        <v>13408100</v>
      </c>
      <c r="C6" s="21"/>
      <c r="D6" s="21"/>
      <c r="E6" s="21"/>
      <c r="F6" s="21"/>
      <c r="G6" s="16" t="s">
        <v>350</v>
      </c>
      <c r="H6" s="17" t="n">
        <v>0.05</v>
      </c>
      <c r="I6" s="18" t="s">
        <v>351</v>
      </c>
      <c r="J6" s="18"/>
      <c r="K6" s="18"/>
      <c r="L6" s="18"/>
    </row>
    <row r="7" customFormat="false" ht="24" hidden="false" customHeight="true" outlineLevel="0" collapsed="false">
      <c r="A7" s="16" t="s">
        <v>352</v>
      </c>
      <c r="B7" s="22" t="n">
        <f aca="false">SUMIF('Workforce Data'!T4:T204,1,'Workforce Data'!I4:I204)</f>
        <v>1317200</v>
      </c>
      <c r="C7" s="23"/>
      <c r="D7" s="23"/>
      <c r="E7" s="23"/>
      <c r="F7" s="23"/>
      <c r="G7" s="16" t="s">
        <v>353</v>
      </c>
      <c r="H7" s="17" t="n">
        <v>0</v>
      </c>
      <c r="I7" s="18" t="s">
        <v>354</v>
      </c>
      <c r="J7" s="18"/>
      <c r="K7" s="18"/>
      <c r="L7" s="18"/>
    </row>
    <row r="8" customFormat="false" ht="24" hidden="false" customHeight="true" outlineLevel="0" collapsed="false">
      <c r="A8" s="24" t="s">
        <v>355</v>
      </c>
      <c r="B8" s="25" t="n">
        <f aca="false">SUMIF('Workforce Data'!T4:T204,1,'Workforce Data'!J4:J204)</f>
        <v>2413600</v>
      </c>
      <c r="C8" s="26"/>
      <c r="D8" s="26"/>
      <c r="E8" s="26"/>
      <c r="F8" s="26"/>
      <c r="G8" s="16" t="s">
        <v>356</v>
      </c>
      <c r="H8" s="27" t="n">
        <v>65000</v>
      </c>
      <c r="I8" s="18" t="s">
        <v>357</v>
      </c>
      <c r="J8" s="18"/>
      <c r="K8" s="18"/>
      <c r="L8" s="18"/>
    </row>
    <row r="9" customFormat="false" ht="24" hidden="false" customHeight="true" outlineLevel="0" collapsed="false">
      <c r="A9" s="28" t="s">
        <v>358</v>
      </c>
      <c r="B9" s="29" t="n">
        <f aca="false">SUMIF('Workforce Data'!T4:T204,1,'Workforce Data'!K4:K204)</f>
        <v>17138900</v>
      </c>
      <c r="C9" s="30"/>
      <c r="D9" s="30"/>
      <c r="E9" s="30"/>
      <c r="F9" s="30"/>
      <c r="G9" s="16" t="s">
        <v>359</v>
      </c>
      <c r="H9" s="17" t="n">
        <v>0.18</v>
      </c>
      <c r="I9" s="18" t="s">
        <v>360</v>
      </c>
      <c r="J9" s="18"/>
      <c r="K9" s="18"/>
      <c r="L9" s="18"/>
    </row>
    <row r="10" customFormat="false" ht="24" hidden="false" customHeight="true" outlineLevel="0" collapsed="false">
      <c r="A10" s="31" t="s">
        <v>361</v>
      </c>
      <c r="B10" s="32" t="n">
        <f aca="false">IFERROR(B9/B5,0)</f>
        <v>95748.0446927374</v>
      </c>
      <c r="C10" s="33"/>
      <c r="D10" s="33"/>
      <c r="E10" s="33"/>
      <c r="F10" s="33"/>
      <c r="G10" s="16" t="s">
        <v>362</v>
      </c>
      <c r="H10" s="34" t="s">
        <v>363</v>
      </c>
      <c r="I10" s="18" t="s">
        <v>364</v>
      </c>
      <c r="J10" s="18"/>
      <c r="K10" s="18"/>
      <c r="L10" s="18"/>
    </row>
    <row r="11" customFormat="false" ht="9.75" hidden="false" customHeight="true" outlineLevel="0" collapsed="false"/>
    <row r="12" customFormat="false" ht="21.75" hidden="false" customHeight="true" outlineLevel="0" collapsed="false">
      <c r="A12" s="35" t="s">
        <v>365</v>
      </c>
      <c r="B12" s="35"/>
      <c r="C12" s="35"/>
      <c r="D12" s="35"/>
      <c r="E12" s="35"/>
      <c r="F12" s="35"/>
      <c r="G12" s="11" t="s">
        <v>366</v>
      </c>
      <c r="H12" s="11"/>
      <c r="I12" s="11"/>
      <c r="J12" s="11"/>
      <c r="K12" s="11"/>
      <c r="L12" s="11"/>
    </row>
    <row r="13" customFormat="false" ht="24" hidden="false" customHeight="true" outlineLevel="0" collapsed="false">
      <c r="A13" s="13" t="s">
        <v>367</v>
      </c>
      <c r="B13" s="14" t="n">
        <f aca="false">ROUND(B5*(1+H5),0)</f>
        <v>197</v>
      </c>
      <c r="C13" s="15"/>
      <c r="D13" s="15"/>
      <c r="E13" s="15"/>
      <c r="F13" s="15"/>
      <c r="G13" s="36" t="s">
        <v>368</v>
      </c>
      <c r="H13" s="37" t="n">
        <f aca="false">B13-B5</f>
        <v>18</v>
      </c>
      <c r="I13" s="38" t="n">
        <f aca="false">IFERROR(B13/B5-1,0)</f>
        <v>0.100558659217877</v>
      </c>
      <c r="J13" s="38"/>
      <c r="K13" s="39"/>
      <c r="L13" s="39"/>
    </row>
    <row r="14" customFormat="false" ht="24" hidden="false" customHeight="true" outlineLevel="0" collapsed="false">
      <c r="A14" s="19" t="s">
        <v>369</v>
      </c>
      <c r="B14" s="20" t="n">
        <f aca="false">MAX(0,B13-B5)</f>
        <v>18</v>
      </c>
      <c r="C14" s="21"/>
      <c r="D14" s="21"/>
      <c r="E14" s="21"/>
      <c r="F14" s="21"/>
      <c r="G14" s="36" t="s">
        <v>370</v>
      </c>
      <c r="H14" s="37" t="n">
        <f aca="false">B14*H8</f>
        <v>1170000</v>
      </c>
      <c r="I14" s="40" t="s">
        <v>371</v>
      </c>
      <c r="J14" s="40"/>
      <c r="K14" s="39"/>
      <c r="L14" s="39"/>
    </row>
    <row r="15" customFormat="false" ht="24" hidden="false" customHeight="true" outlineLevel="0" collapsed="false">
      <c r="A15" s="19" t="s">
        <v>372</v>
      </c>
      <c r="B15" s="20" t="n">
        <f aca="false">B6*(1+H6)+B14*H8</f>
        <v>15248505</v>
      </c>
      <c r="C15" s="21"/>
      <c r="D15" s="21"/>
      <c r="E15" s="21"/>
      <c r="F15" s="21"/>
      <c r="G15" s="36" t="s">
        <v>373</v>
      </c>
      <c r="H15" s="37" t="n">
        <f aca="false">B15-B6</f>
        <v>1840405</v>
      </c>
      <c r="I15" s="38" t="n">
        <f aca="false">IFERROR(B15/B6-1,0)</f>
        <v>0.13726068570491</v>
      </c>
      <c r="J15" s="38"/>
      <c r="K15" s="39"/>
      <c r="L15" s="39"/>
    </row>
    <row r="16" customFormat="false" ht="24" hidden="false" customHeight="true" outlineLevel="0" collapsed="false">
      <c r="A16" s="16" t="s">
        <v>374</v>
      </c>
      <c r="B16" s="22" t="n">
        <f aca="false">B7*(1+H7)</f>
        <v>1317200</v>
      </c>
      <c r="C16" s="23"/>
      <c r="D16" s="23"/>
      <c r="E16" s="23"/>
      <c r="F16" s="23"/>
      <c r="G16" s="36" t="s">
        <v>375</v>
      </c>
      <c r="H16" s="37" t="n">
        <f aca="false">B16-B7</f>
        <v>0</v>
      </c>
      <c r="I16" s="38" t="n">
        <f aca="false">IFERROR(B16/B7-1,0)</f>
        <v>0</v>
      </c>
      <c r="J16" s="38"/>
      <c r="K16" s="39"/>
      <c r="L16" s="39"/>
    </row>
    <row r="17" customFormat="false" ht="24" hidden="false" customHeight="true" outlineLevel="0" collapsed="false">
      <c r="A17" s="24" t="s">
        <v>376</v>
      </c>
      <c r="B17" s="25" t="n">
        <f aca="false">(B15+B14*H8)*H9</f>
        <v>2955330.9</v>
      </c>
      <c r="C17" s="26"/>
      <c r="D17" s="26"/>
      <c r="E17" s="26"/>
      <c r="F17" s="26"/>
      <c r="G17" s="36" t="s">
        <v>377</v>
      </c>
      <c r="H17" s="37" t="n">
        <f aca="false">B17-B8</f>
        <v>541730.9</v>
      </c>
      <c r="I17" s="38" t="n">
        <f aca="false">IFERROR(B17/B8-1,0)</f>
        <v>0.224449328803447</v>
      </c>
      <c r="J17" s="38"/>
      <c r="K17" s="39"/>
      <c r="L17" s="39"/>
    </row>
    <row r="18" customFormat="false" ht="24" hidden="false" customHeight="true" outlineLevel="0" collapsed="false">
      <c r="A18" s="28" t="s">
        <v>378</v>
      </c>
      <c r="B18" s="29" t="n">
        <f aca="false">B15+B16+B17</f>
        <v>19521035.9</v>
      </c>
      <c r="C18" s="30"/>
      <c r="D18" s="30"/>
      <c r="E18" s="30"/>
      <c r="F18" s="30"/>
      <c r="G18" s="36" t="s">
        <v>379</v>
      </c>
      <c r="H18" s="37" t="n">
        <f aca="false">B18-B9</f>
        <v>2382135.9</v>
      </c>
      <c r="I18" s="38" t="n">
        <f aca="false">IFERROR(B18/B9-1,0)</f>
        <v>0.138990011027546</v>
      </c>
      <c r="J18" s="38"/>
      <c r="K18" s="39"/>
      <c r="L18" s="39"/>
    </row>
    <row r="19" customFormat="false" ht="24" hidden="false" customHeight="true" outlineLevel="0" collapsed="false">
      <c r="A19" s="31" t="s">
        <v>380</v>
      </c>
      <c r="B19" s="32" t="n">
        <f aca="false">IFERROR(B18/B13,0)</f>
        <v>99091.5527918782</v>
      </c>
      <c r="C19" s="33"/>
      <c r="D19" s="33"/>
      <c r="E19" s="33"/>
      <c r="F19" s="33"/>
      <c r="G19" s="36" t="s">
        <v>381</v>
      </c>
      <c r="H19" s="37" t="n">
        <f aca="false">B19-B10</f>
        <v>3343.50809914073</v>
      </c>
      <c r="I19" s="38" t="n">
        <f aca="false">IFERROR(B19/B10-1,0)</f>
        <v>0.0349198577356884</v>
      </c>
      <c r="J19" s="38"/>
      <c r="K19" s="39"/>
      <c r="L19" s="39"/>
    </row>
    <row r="21" customFormat="false" ht="9.75" hidden="false" customHeight="true" outlineLevel="0" collapsed="false"/>
    <row r="22" customFormat="false" ht="30" hidden="false" customHeight="true" outlineLevel="0" collapsed="false">
      <c r="A22" s="41" t="str">
        <f aca="false">CONCATENATE("Scenario: ",H10,"  |  Headcount: ",TEXT(B13,"#,##0"),"  |  Total Cost: £",TEXT(B18,"#,##0"),"  |  vs Baseline: £",TEXT(B20,"+#,##0;-#,##0"))</f>
        <v>Scenario: Growth +10%  |  Headcount: 197  |  Total Cost: £19,521,036  |  vs Baseline: £+0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9.75" hidden="false" customHeight="true" outlineLevel="0" collapsed="false"/>
    <row r="24" customFormat="false" ht="21.75" hidden="false" customHeight="true" outlineLevel="0" collapsed="false">
      <c r="A24" s="42" t="s">
        <v>382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customFormat="false" ht="25.5" hidden="false" customHeight="true" outlineLevel="0" collapsed="false">
      <c r="A25" s="3" t="s">
        <v>383</v>
      </c>
      <c r="B25" s="3" t="s">
        <v>384</v>
      </c>
      <c r="C25" s="3" t="s">
        <v>363</v>
      </c>
      <c r="D25" s="3" t="s">
        <v>385</v>
      </c>
      <c r="E25" s="3" t="s">
        <v>386</v>
      </c>
    </row>
    <row r="26" customFormat="false" ht="21.75" hidden="false" customHeight="true" outlineLevel="0" collapsed="false">
      <c r="A26" s="43" t="s">
        <v>387</v>
      </c>
      <c r="B26" s="44" t="n">
        <v>201</v>
      </c>
      <c r="C26" s="45" t="n">
        <v>221</v>
      </c>
      <c r="D26" s="46" t="n">
        <v>251</v>
      </c>
      <c r="E26" s="47" t="n">
        <v>181</v>
      </c>
    </row>
    <row r="27" customFormat="false" ht="21.75" hidden="false" customHeight="true" outlineLevel="0" collapsed="false">
      <c r="A27" s="43" t="s">
        <v>388</v>
      </c>
      <c r="B27" s="44" t="s">
        <v>389</v>
      </c>
      <c r="C27" s="45" t="s">
        <v>390</v>
      </c>
      <c r="D27" s="46" t="s">
        <v>391</v>
      </c>
      <c r="E27" s="47" t="s">
        <v>392</v>
      </c>
    </row>
    <row r="28" customFormat="false" ht="21.75" hidden="false" customHeight="true" outlineLevel="0" collapsed="false">
      <c r="A28" s="43" t="s">
        <v>393</v>
      </c>
      <c r="B28" s="44" t="s">
        <v>394</v>
      </c>
      <c r="C28" s="45" t="s">
        <v>395</v>
      </c>
      <c r="D28" s="46" t="s">
        <v>396</v>
      </c>
      <c r="E28" s="47" t="s">
        <v>397</v>
      </c>
    </row>
    <row r="29" customFormat="false" ht="21.75" hidden="false" customHeight="true" outlineLevel="0" collapsed="false">
      <c r="A29" s="43" t="s">
        <v>398</v>
      </c>
      <c r="B29" s="44" t="s">
        <v>399</v>
      </c>
      <c r="C29" s="45" t="s">
        <v>400</v>
      </c>
      <c r="D29" s="46" t="s">
        <v>401</v>
      </c>
      <c r="E29" s="47" t="s">
        <v>402</v>
      </c>
    </row>
    <row r="30" customFormat="false" ht="21.75" hidden="false" customHeight="true" outlineLevel="0" collapsed="false">
      <c r="A30" s="43" t="s">
        <v>403</v>
      </c>
      <c r="B30" s="44" t="s">
        <v>404</v>
      </c>
      <c r="C30" s="45" t="s">
        <v>405</v>
      </c>
      <c r="D30" s="46" t="s">
        <v>406</v>
      </c>
      <c r="E30" s="47" t="s">
        <v>407</v>
      </c>
    </row>
    <row r="31" customFormat="false" ht="21.75" hidden="false" customHeight="true" outlineLevel="0" collapsed="false">
      <c r="A31" s="43" t="s">
        <v>408</v>
      </c>
      <c r="B31" s="44" t="s">
        <v>409</v>
      </c>
      <c r="C31" s="45" t="s">
        <v>410</v>
      </c>
      <c r="D31" s="46" t="s">
        <v>411</v>
      </c>
      <c r="E31" s="47" t="s">
        <v>412</v>
      </c>
    </row>
    <row r="32" customFormat="false" ht="21.75" hidden="false" customHeight="true" outlineLevel="0" collapsed="false">
      <c r="A32" s="43" t="s">
        <v>413</v>
      </c>
      <c r="B32" s="44" t="s">
        <v>414</v>
      </c>
      <c r="C32" s="45" t="s">
        <v>415</v>
      </c>
      <c r="D32" s="46" t="s">
        <v>416</v>
      </c>
      <c r="E32" s="47" t="s">
        <v>417</v>
      </c>
    </row>
    <row r="33" customFormat="false" ht="21.75" hidden="false" customHeight="true" outlineLevel="0" collapsed="false">
      <c r="A33" s="43" t="s">
        <v>418</v>
      </c>
      <c r="B33" s="44" t="s">
        <v>419</v>
      </c>
      <c r="C33" s="45" t="s">
        <v>420</v>
      </c>
      <c r="D33" s="46" t="s">
        <v>421</v>
      </c>
      <c r="E33" s="47" t="s">
        <v>422</v>
      </c>
    </row>
  </sheetData>
  <mergeCells count="21">
    <mergeCell ref="A1:L1"/>
    <mergeCell ref="A2:L2"/>
    <mergeCell ref="A4:F4"/>
    <mergeCell ref="G4:L4"/>
    <mergeCell ref="I5:L5"/>
    <mergeCell ref="I6:L6"/>
    <mergeCell ref="I7:L7"/>
    <mergeCell ref="I8:L8"/>
    <mergeCell ref="I9:L9"/>
    <mergeCell ref="I10:L10"/>
    <mergeCell ref="A12:F12"/>
    <mergeCell ref="G12:L12"/>
    <mergeCell ref="I13:J13"/>
    <mergeCell ref="I14:J14"/>
    <mergeCell ref="I15:J15"/>
    <mergeCell ref="I16:J16"/>
    <mergeCell ref="I17:J17"/>
    <mergeCell ref="I18:J18"/>
    <mergeCell ref="I19:J19"/>
    <mergeCell ref="A22:L22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7"/>
  </cols>
  <sheetData>
    <row r="1" customFormat="false" ht="37.5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.5" hidden="false" customHeight="true" outlineLevel="0" collapsed="false"/>
    <row r="3" customFormat="false" ht="18" hidden="false" customHeight="true" outlineLevel="0" collapsed="false">
      <c r="A3" s="48" t="s">
        <v>424</v>
      </c>
      <c r="B3" s="48"/>
      <c r="C3" s="49" t="s">
        <v>425</v>
      </c>
      <c r="D3" s="49"/>
      <c r="E3" s="50" t="s">
        <v>426</v>
      </c>
      <c r="F3" s="50"/>
      <c r="G3" s="51" t="s">
        <v>427</v>
      </c>
      <c r="H3" s="51"/>
      <c r="I3" s="52" t="s">
        <v>428</v>
      </c>
      <c r="J3" s="52"/>
      <c r="K3" s="53" t="s">
        <v>429</v>
      </c>
    </row>
    <row r="4" customFormat="false" ht="18" hidden="false" customHeight="true" outlineLevel="0" collapsed="false">
      <c r="A4" s="48"/>
      <c r="B4" s="48"/>
      <c r="C4" s="49"/>
      <c r="D4" s="49"/>
      <c r="E4" s="50"/>
      <c r="F4" s="50"/>
      <c r="G4" s="51"/>
      <c r="H4" s="51"/>
      <c r="I4" s="52"/>
      <c r="J4" s="52"/>
      <c r="K4" s="53"/>
    </row>
    <row r="5" customFormat="false" ht="18" hidden="false" customHeight="true" outlineLevel="0" collapsed="false">
      <c r="A5" s="54" t="n">
        <f aca="false">COUNTIF('Workforce Data'!T4:T204,1)</f>
        <v>179</v>
      </c>
      <c r="B5" s="54"/>
      <c r="C5" s="55" t="n">
        <f aca="false">SUMIF('Workforce Data'!T4:T204,1,'Workforce Data'!K4:K204)</f>
        <v>17138900</v>
      </c>
      <c r="D5" s="55"/>
      <c r="E5" s="56" t="n">
        <f aca="false">IFERROR(SUMIF('Workforce Data'!T4:T204,1,'Workforce Data'!H4:H204)/COUNTIF('Workforce Data'!T4:T204,1),0)</f>
        <v>74905.5865921788</v>
      </c>
      <c r="F5" s="56"/>
      <c r="G5" s="57" t="n">
        <f aca="false">COUNTIF('Workforce Data'!P4:P204,"Contractor")</f>
        <v>22</v>
      </c>
      <c r="H5" s="57"/>
      <c r="I5" s="58" t="n">
        <f aca="false">IFERROR(AVERAGEIF('Workforce Data'!T4:T204,1,'Workforce Data'!O4:O204),0)</f>
        <v>3.09776536312849</v>
      </c>
      <c r="J5" s="58"/>
      <c r="K5" s="59" t="n">
        <f aca="false">COUNTIF('Workforce Data'!Q4:Q204,"Remote")</f>
        <v>30</v>
      </c>
    </row>
    <row r="6" customFormat="false" ht="18" hidden="false" customHeight="true" outlineLevel="0" collapsed="false">
      <c r="A6" s="54"/>
      <c r="B6" s="54"/>
      <c r="C6" s="55"/>
      <c r="D6" s="55"/>
      <c r="E6" s="56"/>
      <c r="F6" s="56"/>
      <c r="G6" s="57"/>
      <c r="H6" s="57"/>
      <c r="I6" s="58"/>
      <c r="J6" s="58"/>
      <c r="K6" s="59"/>
    </row>
    <row r="7" customFormat="false" ht="18" hidden="false" customHeight="true" outlineLevel="0" collapsed="false">
      <c r="A7" s="60"/>
      <c r="B7" s="60"/>
      <c r="C7" s="61"/>
      <c r="D7" s="61"/>
      <c r="E7" s="62"/>
      <c r="F7" s="62"/>
      <c r="G7" s="63"/>
      <c r="H7" s="63"/>
      <c r="I7" s="64"/>
      <c r="J7" s="64"/>
      <c r="K7" s="65"/>
    </row>
    <row r="8" customFormat="false" ht="7.5" hidden="false" customHeight="true" outlineLevel="0" collapsed="false"/>
    <row r="10" customFormat="false" ht="21.75" hidden="false" customHeight="true" outlineLevel="0" collapsed="false">
      <c r="A10" s="11" t="s">
        <v>430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customFormat="false" ht="25.5" hidden="false" customHeight="true" outlineLevel="0" collapsed="false">
      <c r="A11" s="4" t="s">
        <v>4</v>
      </c>
      <c r="B11" s="4" t="s">
        <v>5</v>
      </c>
      <c r="C11" s="4" t="s">
        <v>387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431</v>
      </c>
      <c r="I11" s="4" t="s">
        <v>432</v>
      </c>
      <c r="J11" s="4" t="s">
        <v>433</v>
      </c>
    </row>
    <row r="12" customFormat="false" ht="21.75" hidden="false" customHeight="true" outlineLevel="0" collapsed="false">
      <c r="A12" s="66" t="s">
        <v>24</v>
      </c>
      <c r="B12" s="67" t="s">
        <v>25</v>
      </c>
      <c r="C12" s="68" t="n">
        <f aca="false">COUNTIF('Workforce Data'!C:C,"Engineering")</f>
        <v>45</v>
      </c>
      <c r="D12" s="68" t="n">
        <f aca="false">SUMIF('Workforce Data'!C:C,"Engineering",'Workforce Data'!H:H)</f>
        <v>3946100</v>
      </c>
      <c r="E12" s="69" t="n">
        <f aca="false">SUMIF('Workforce Data'!C:C,"Engineering",'Workforce Data'!I:I)</f>
        <v>356800</v>
      </c>
      <c r="F12" s="68" t="n">
        <f aca="false">SUMIF('Workforce Data'!C:C,"Engineering",'Workforce Data'!J:J)</f>
        <v>710200</v>
      </c>
      <c r="G12" s="68" t="n">
        <f aca="false">SUMIF('Workforce Data'!C:C,"Engineering",'Workforce Data'!K:K)</f>
        <v>5013100</v>
      </c>
      <c r="H12" s="68" t="n">
        <f aca="false">IFERROR(G12/C12,0)</f>
        <v>111402.222222222</v>
      </c>
      <c r="I12" s="70" t="n">
        <f aca="false">IFERROR(AVERAGEIF('Workforce Data'!C:C,"Engineering",'Workforce Data'!O:O),0)</f>
        <v>2.79333333333333</v>
      </c>
      <c r="J12" s="71" t="n">
        <f aca="false">IFERROR(C12/C22,0)</f>
        <v>0.223880597014925</v>
      </c>
    </row>
    <row r="13" customFormat="false" ht="21.75" hidden="false" customHeight="true" outlineLevel="0" collapsed="false">
      <c r="A13" s="66" t="s">
        <v>131</v>
      </c>
      <c r="B13" s="67" t="s">
        <v>25</v>
      </c>
      <c r="C13" s="68" t="n">
        <f aca="false">COUNTIF('Workforce Data'!C:C,"Product")</f>
        <v>18</v>
      </c>
      <c r="D13" s="68" t="n">
        <f aca="false">SUMIF('Workforce Data'!C:C,"Product",'Workforce Data'!H:H)</f>
        <v>1345000</v>
      </c>
      <c r="E13" s="69" t="n">
        <f aca="false">SUMIF('Workforce Data'!C:C,"Product",'Workforce Data'!I:I)</f>
        <v>97100</v>
      </c>
      <c r="F13" s="68" t="n">
        <f aca="false">SUMIF('Workforce Data'!C:C,"Product",'Workforce Data'!J:J)</f>
        <v>242000</v>
      </c>
      <c r="G13" s="68" t="n">
        <f aca="false">SUMIF('Workforce Data'!C:C,"Product",'Workforce Data'!K:K)</f>
        <v>1684100</v>
      </c>
      <c r="H13" s="68" t="n">
        <f aca="false">IFERROR(G13/C13,0)</f>
        <v>93561.1111111111</v>
      </c>
      <c r="I13" s="70" t="n">
        <f aca="false">IFERROR(AVERAGEIF('Workforce Data'!C:C,"Product",'Workforce Data'!O:O),0)</f>
        <v>3.96111111111111</v>
      </c>
      <c r="J13" s="71" t="n">
        <f aca="false">IFERROR(C13/C22,0)</f>
        <v>0.0895522388059701</v>
      </c>
    </row>
    <row r="14" customFormat="false" ht="21.75" hidden="false" customHeight="true" outlineLevel="0" collapsed="false">
      <c r="A14" s="66" t="s">
        <v>160</v>
      </c>
      <c r="B14" s="67" t="s">
        <v>25</v>
      </c>
      <c r="C14" s="68" t="n">
        <f aca="false">COUNTIF('Workforce Data'!C:C,"Data &amp; Analytics")</f>
        <v>12</v>
      </c>
      <c r="D14" s="68" t="n">
        <f aca="false">SUMIF('Workforce Data'!C:C,"Data &amp; Analytics",'Workforce Data'!H:H)</f>
        <v>1129200</v>
      </c>
      <c r="E14" s="69" t="n">
        <f aca="false">SUMIF('Workforce Data'!C:C,"Data &amp; Analytics",'Workforce Data'!I:I)</f>
        <v>131400</v>
      </c>
      <c r="F14" s="68" t="n">
        <f aca="false">SUMIF('Workforce Data'!C:C,"Data &amp; Analytics",'Workforce Data'!J:J)</f>
        <v>203200</v>
      </c>
      <c r="G14" s="68" t="n">
        <f aca="false">SUMIF('Workforce Data'!C:C,"Data &amp; Analytics",'Workforce Data'!K:K)</f>
        <v>1463800</v>
      </c>
      <c r="H14" s="68" t="n">
        <f aca="false">IFERROR(G14/C14,0)</f>
        <v>121983.333333333</v>
      </c>
      <c r="I14" s="70" t="n">
        <f aca="false">IFERROR(AVERAGEIF('Workforce Data'!C:C,"Data &amp; Analytics",'Workforce Data'!O:O),0)</f>
        <v>2.85</v>
      </c>
      <c r="J14" s="71" t="n">
        <f aca="false">IFERROR(C14/C22,0)</f>
        <v>0.0597014925373134</v>
      </c>
    </row>
    <row r="15" customFormat="false" ht="21.75" hidden="false" customHeight="true" outlineLevel="0" collapsed="false">
      <c r="A15" s="72" t="s">
        <v>179</v>
      </c>
      <c r="B15" s="73" t="s">
        <v>180</v>
      </c>
      <c r="C15" s="74" t="n">
        <f aca="false">COUNTIF('Workforce Data'!C:C,"Sales")</f>
        <v>35</v>
      </c>
      <c r="D15" s="74" t="n">
        <f aca="false">SUMIF('Workforce Data'!C:C,"Sales",'Workforce Data'!H:H)</f>
        <v>2376700</v>
      </c>
      <c r="E15" s="75" t="n">
        <f aca="false">SUMIF('Workforce Data'!C:C,"Sales",'Workforce Data'!I:I)</f>
        <v>261400</v>
      </c>
      <c r="F15" s="74" t="n">
        <f aca="false">SUMIF('Workforce Data'!C:C,"Sales",'Workforce Data'!J:J)</f>
        <v>428000</v>
      </c>
      <c r="G15" s="74" t="n">
        <f aca="false">SUMIF('Workforce Data'!C:C,"Sales",'Workforce Data'!K:K)</f>
        <v>3066100</v>
      </c>
      <c r="H15" s="74" t="n">
        <f aca="false">IFERROR(G15/C15,0)</f>
        <v>87602.8571428571</v>
      </c>
      <c r="I15" s="76" t="n">
        <f aca="false">IFERROR(AVERAGEIF('Workforce Data'!C:C,"Sales",'Workforce Data'!O:O),0)</f>
        <v>2.68571428571429</v>
      </c>
      <c r="J15" s="77" t="n">
        <f aca="false">IFERROR(C15/C22,0)</f>
        <v>0.174129353233831</v>
      </c>
    </row>
    <row r="16" customFormat="false" ht="21.75" hidden="false" customHeight="true" outlineLevel="0" collapsed="false">
      <c r="A16" s="72" t="s">
        <v>227</v>
      </c>
      <c r="B16" s="73" t="s">
        <v>180</v>
      </c>
      <c r="C16" s="74" t="n">
        <f aca="false">COUNTIF('Workforce Data'!C:C,"Marketing")</f>
        <v>20</v>
      </c>
      <c r="D16" s="74" t="n">
        <f aca="false">SUMIF('Workforce Data'!C:C,"Marketing",'Workforce Data'!H:H)</f>
        <v>1457000</v>
      </c>
      <c r="E16" s="75" t="n">
        <f aca="false">SUMIF('Workforce Data'!C:C,"Marketing",'Workforce Data'!I:I)</f>
        <v>150700</v>
      </c>
      <c r="F16" s="74" t="n">
        <f aca="false">SUMIF('Workforce Data'!C:C,"Marketing",'Workforce Data'!J:J)</f>
        <v>262200</v>
      </c>
      <c r="G16" s="74" t="n">
        <f aca="false">SUMIF('Workforce Data'!C:C,"Marketing",'Workforce Data'!K:K)</f>
        <v>1869900</v>
      </c>
      <c r="H16" s="74" t="n">
        <f aca="false">IFERROR(G16/C16,0)</f>
        <v>93495</v>
      </c>
      <c r="I16" s="76" t="n">
        <f aca="false">IFERROR(AVERAGEIF('Workforce Data'!C:C,"Marketing",'Workforce Data'!O:O),0)</f>
        <v>3.695</v>
      </c>
      <c r="J16" s="77" t="n">
        <f aca="false">IFERROR(C16/C22,0)</f>
        <v>0.0995024875621891</v>
      </c>
    </row>
    <row r="17" customFormat="false" ht="21.75" hidden="false" customHeight="true" outlineLevel="0" collapsed="false">
      <c r="A17" s="72" t="s">
        <v>254</v>
      </c>
      <c r="B17" s="73" t="s">
        <v>180</v>
      </c>
      <c r="C17" s="74" t="n">
        <f aca="false">COUNTIF('Workforce Data'!C:C,"Customer Success")</f>
        <v>25</v>
      </c>
      <c r="D17" s="74" t="n">
        <f aca="false">SUMIF('Workforce Data'!C:C,"Customer Success",'Workforce Data'!H:H)</f>
        <v>1439500</v>
      </c>
      <c r="E17" s="75" t="n">
        <f aca="false">SUMIF('Workforce Data'!C:C,"Customer Success",'Workforce Data'!I:I)</f>
        <v>136900</v>
      </c>
      <c r="F17" s="74" t="n">
        <f aca="false">SUMIF('Workforce Data'!C:C,"Customer Success",'Workforce Data'!J:J)</f>
        <v>259100</v>
      </c>
      <c r="G17" s="74" t="n">
        <f aca="false">SUMIF('Workforce Data'!C:C,"Customer Success",'Workforce Data'!K:K)</f>
        <v>1835500</v>
      </c>
      <c r="H17" s="74" t="n">
        <f aca="false">IFERROR(G17/C17,0)</f>
        <v>73420</v>
      </c>
      <c r="I17" s="76" t="n">
        <f aca="false">IFERROR(AVERAGEIF('Workforce Data'!C:C,"Customer Success",'Workforce Data'!O:O),0)</f>
        <v>2.812</v>
      </c>
      <c r="J17" s="77" t="n">
        <f aca="false">IFERROR(C17/C22,0)</f>
        <v>0.124378109452736</v>
      </c>
    </row>
    <row r="18" customFormat="false" ht="21.75" hidden="false" customHeight="true" outlineLevel="0" collapsed="false">
      <c r="A18" s="78" t="s">
        <v>283</v>
      </c>
      <c r="B18" s="79" t="s">
        <v>284</v>
      </c>
      <c r="C18" s="80" t="n">
        <f aca="false">COUNTIF('Workforce Data'!C:C,"Finance")</f>
        <v>12</v>
      </c>
      <c r="D18" s="80" t="n">
        <f aca="false">SUMIF('Workforce Data'!C:C,"Finance",'Workforce Data'!H:H)</f>
        <v>909800</v>
      </c>
      <c r="E18" s="81" t="n">
        <f aca="false">SUMIF('Workforce Data'!C:C,"Finance",'Workforce Data'!I:I)</f>
        <v>92500</v>
      </c>
      <c r="F18" s="80" t="n">
        <f aca="false">SUMIF('Workforce Data'!C:C,"Finance",'Workforce Data'!J:J)</f>
        <v>163800</v>
      </c>
      <c r="G18" s="80" t="n">
        <f aca="false">SUMIF('Workforce Data'!C:C,"Finance",'Workforce Data'!K:K)</f>
        <v>1166100</v>
      </c>
      <c r="H18" s="80" t="n">
        <f aca="false">IFERROR(G18/C18,0)</f>
        <v>97175</v>
      </c>
      <c r="I18" s="82" t="n">
        <f aca="false">IFERROR(AVERAGEIF('Workforce Data'!C:C,"Finance",'Workforce Data'!O:O),0)</f>
        <v>3.79166666666667</v>
      </c>
      <c r="J18" s="83" t="n">
        <f aca="false">IFERROR(C18/C22,0)</f>
        <v>0.0597014925373134</v>
      </c>
    </row>
    <row r="19" customFormat="false" ht="21.75" hidden="false" customHeight="true" outlineLevel="0" collapsed="false">
      <c r="A19" s="78" t="s">
        <v>301</v>
      </c>
      <c r="B19" s="79" t="s">
        <v>284</v>
      </c>
      <c r="C19" s="80" t="n">
        <f aca="false">COUNTIF('Workforce Data'!C:C,"HR &amp; People")</f>
        <v>8</v>
      </c>
      <c r="D19" s="80" t="n">
        <f aca="false">SUMIF('Workforce Data'!C:C,"HR &amp; People",'Workforce Data'!H:H)</f>
        <v>671400</v>
      </c>
      <c r="E19" s="81" t="n">
        <f aca="false">SUMIF('Workforce Data'!C:C,"HR &amp; People",'Workforce Data'!I:I)</f>
        <v>89300</v>
      </c>
      <c r="F19" s="80" t="n">
        <f aca="false">SUMIF('Workforce Data'!C:C,"HR &amp; People",'Workforce Data'!J:J)</f>
        <v>120900</v>
      </c>
      <c r="G19" s="80" t="n">
        <f aca="false">SUMIF('Workforce Data'!C:C,"HR &amp; People",'Workforce Data'!K:K)</f>
        <v>881600</v>
      </c>
      <c r="H19" s="80" t="n">
        <f aca="false">IFERROR(G19/C19,0)</f>
        <v>110200</v>
      </c>
      <c r="I19" s="82" t="n">
        <f aca="false">IFERROR(AVERAGEIF('Workforce Data'!C:C,"HR &amp; People",'Workforce Data'!O:O),0)</f>
        <v>3.2625</v>
      </c>
      <c r="J19" s="83" t="n">
        <f aca="false">IFERROR(C19/C22,0)</f>
        <v>0.0398009950248756</v>
      </c>
    </row>
    <row r="20" customFormat="false" ht="21.75" hidden="false" customHeight="true" outlineLevel="0" collapsed="false">
      <c r="A20" s="78" t="s">
        <v>312</v>
      </c>
      <c r="B20" s="79" t="s">
        <v>284</v>
      </c>
      <c r="C20" s="80" t="n">
        <f aca="false">COUNTIF('Workforce Data'!C:C,"Legal")</f>
        <v>6</v>
      </c>
      <c r="D20" s="80" t="n">
        <f aca="false">SUMIF('Workforce Data'!C:C,"Legal",'Workforce Data'!H:H)</f>
        <v>471500</v>
      </c>
      <c r="E20" s="81" t="n">
        <f aca="false">SUMIF('Workforce Data'!C:C,"Legal",'Workforce Data'!I:I)</f>
        <v>29000</v>
      </c>
      <c r="F20" s="80" t="n">
        <f aca="false">SUMIF('Workforce Data'!C:C,"Legal",'Workforce Data'!J:J)</f>
        <v>84900</v>
      </c>
      <c r="G20" s="80" t="n">
        <f aca="false">SUMIF('Workforce Data'!C:C,"Legal",'Workforce Data'!K:K)</f>
        <v>585400</v>
      </c>
      <c r="H20" s="80" t="n">
        <f aca="false">IFERROR(G20/C20,0)</f>
        <v>97566.6666666667</v>
      </c>
      <c r="I20" s="82" t="n">
        <f aca="false">IFERROR(AVERAGEIF('Workforce Data'!C:C,"Legal",'Workforce Data'!O:O),0)</f>
        <v>2.21666666666667</v>
      </c>
      <c r="J20" s="83" t="n">
        <f aca="false">IFERROR(C20/C22,0)</f>
        <v>0.0298507462686567</v>
      </c>
    </row>
    <row r="21" customFormat="false" ht="21.75" hidden="false" customHeight="true" outlineLevel="0" collapsed="false">
      <c r="A21" s="78" t="s">
        <v>284</v>
      </c>
      <c r="B21" s="79" t="s">
        <v>284</v>
      </c>
      <c r="C21" s="80" t="n">
        <f aca="false">COUNTIF('Workforce Data'!C:C,"Operations")</f>
        <v>20</v>
      </c>
      <c r="D21" s="80" t="n">
        <f aca="false">SUMIF('Workforce Data'!C:C,"Operations",'Workforce Data'!H:H)</f>
        <v>1270000</v>
      </c>
      <c r="E21" s="81" t="n">
        <f aca="false">SUMIF('Workforce Data'!C:C,"Operations",'Workforce Data'!I:I)</f>
        <v>135000</v>
      </c>
      <c r="F21" s="80" t="n">
        <f aca="false">SUMIF('Workforce Data'!C:C,"Operations",'Workforce Data'!J:J)</f>
        <v>228600</v>
      </c>
      <c r="G21" s="80" t="n">
        <f aca="false">SUMIF('Workforce Data'!C:C,"Operations",'Workforce Data'!K:K)</f>
        <v>1633600</v>
      </c>
      <c r="H21" s="80" t="n">
        <f aca="false">IFERROR(G21/C21,0)</f>
        <v>81680</v>
      </c>
      <c r="I21" s="82" t="n">
        <f aca="false">IFERROR(AVERAGEIF('Workforce Data'!C:C,"Operations",'Workforce Data'!O:O),0)</f>
        <v>3.325</v>
      </c>
      <c r="J21" s="83" t="n">
        <f aca="false">IFERROR(C21/C22,0)</f>
        <v>0.0995024875621891</v>
      </c>
    </row>
    <row r="22" customFormat="false" ht="24" hidden="false" customHeight="true" outlineLevel="0" collapsed="false">
      <c r="A22" s="84" t="s">
        <v>434</v>
      </c>
      <c r="B22" s="84" t="s">
        <v>435</v>
      </c>
      <c r="C22" s="85" t="n">
        <f aca="false">SUM(C12:C21)</f>
        <v>201</v>
      </c>
      <c r="D22" s="85" t="n">
        <f aca="false">SUM(D12:D21)</f>
        <v>15016200</v>
      </c>
      <c r="E22" s="85" t="n">
        <f aca="false">SUM(E12:E21)</f>
        <v>1480100</v>
      </c>
      <c r="F22" s="85" t="n">
        <f aca="false">SUM(F12:F21)</f>
        <v>2702900</v>
      </c>
      <c r="G22" s="85" t="n">
        <f aca="false">SUM(G12:G21)</f>
        <v>19199200</v>
      </c>
      <c r="H22" s="85" t="n">
        <f aca="false">IFERROR(G22/C22,0)</f>
        <v>95518.407960199</v>
      </c>
      <c r="I22" s="86" t="n">
        <f aca="false">IFERROR(AVERAGE(J12:J21),0)</f>
        <v>0.1</v>
      </c>
      <c r="J22" s="87" t="s">
        <v>436</v>
      </c>
    </row>
  </sheetData>
  <mergeCells count="14">
    <mergeCell ref="A1:K1"/>
    <mergeCell ref="A3:B4"/>
    <mergeCell ref="C3:D4"/>
    <mergeCell ref="E3:F4"/>
    <mergeCell ref="G3:H4"/>
    <mergeCell ref="I3:J4"/>
    <mergeCell ref="K3:K4"/>
    <mergeCell ref="A5:B6"/>
    <mergeCell ref="C5:D6"/>
    <mergeCell ref="E5:F6"/>
    <mergeCell ref="G5:H6"/>
    <mergeCell ref="I5:J6"/>
    <mergeCell ref="K5:K6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7" min="4" style="0" width="14"/>
  </cols>
  <sheetData>
    <row r="1" customFormat="false" ht="37.5" hidden="false" customHeight="true" outlineLevel="0" collapsed="false">
      <c r="A1" s="1" t="s">
        <v>437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3" t="s">
        <v>7</v>
      </c>
      <c r="B2" s="3" t="s">
        <v>8</v>
      </c>
      <c r="C2" s="3" t="s">
        <v>387</v>
      </c>
      <c r="D2" s="3" t="s">
        <v>438</v>
      </c>
      <c r="E2" s="3" t="s">
        <v>439</v>
      </c>
      <c r="F2" s="3" t="s">
        <v>440</v>
      </c>
      <c r="G2" s="3" t="s">
        <v>12</v>
      </c>
    </row>
    <row r="3" customFormat="false" ht="24" hidden="false" customHeight="true" outlineLevel="0" collapsed="false">
      <c r="A3" s="88" t="s">
        <v>27</v>
      </c>
      <c r="B3" s="19" t="s">
        <v>28</v>
      </c>
      <c r="C3" s="89" t="n">
        <f aca="false">COUNTIF('Workforce Data'!F:F,"L1")</f>
        <v>26</v>
      </c>
      <c r="D3" s="89" t="n">
        <f aca="false">IFERROR(AVERAGEIF('Workforce Data'!F:F,"L1",'Workforce Data'!H:H),0)</f>
        <v>50138.4615384615</v>
      </c>
      <c r="E3" s="89" t="n">
        <f aca="false">IFERROR(minifs('Workforce Data'!H:H,'Workforce Data'!F:F,"L1"),0)</f>
        <v>0</v>
      </c>
      <c r="F3" s="89" t="n">
        <f aca="false">IFERROR(maxifs('Workforce Data'!H:H,'Workforce Data'!F:F,"L1"),0)</f>
        <v>0</v>
      </c>
      <c r="G3" s="89" t="n">
        <f aca="false">SUMIF('Workforce Data'!F:F,"L1",'Workforce Data'!K:K)</f>
        <v>1538500</v>
      </c>
    </row>
    <row r="4" customFormat="false" ht="24" hidden="false" customHeight="true" outlineLevel="0" collapsed="false">
      <c r="A4" s="88" t="s">
        <v>34</v>
      </c>
      <c r="B4" s="19" t="s">
        <v>35</v>
      </c>
      <c r="C4" s="89" t="n">
        <f aca="false">COUNTIF('Workforce Data'!F:F,"L2")</f>
        <v>60</v>
      </c>
      <c r="D4" s="89" t="n">
        <f aca="false">IFERROR(AVERAGEIF('Workforce Data'!F:F,"L2",'Workforce Data'!H:H),0)</f>
        <v>54458.3333333333</v>
      </c>
      <c r="E4" s="89" t="n">
        <f aca="false">IFERROR(minifs('Workforce Data'!H:H,'Workforce Data'!F:F,"L2"),0)</f>
        <v>0</v>
      </c>
      <c r="F4" s="89" t="n">
        <f aca="false">IFERROR(maxifs('Workforce Data'!H:H,'Workforce Data'!F:F,"L2"),0)</f>
        <v>0</v>
      </c>
      <c r="G4" s="89" t="n">
        <f aca="false">SUMIF('Workforce Data'!F:F,"L2",'Workforce Data'!K:K)</f>
        <v>4019000</v>
      </c>
    </row>
    <row r="5" customFormat="false" ht="24" hidden="false" customHeight="true" outlineLevel="0" collapsed="false">
      <c r="A5" s="90" t="s">
        <v>42</v>
      </c>
      <c r="B5" s="13" t="s">
        <v>43</v>
      </c>
      <c r="C5" s="91" t="n">
        <f aca="false">COUNTIF('Workforce Data'!F:F,"L3")</f>
        <v>58</v>
      </c>
      <c r="D5" s="91" t="n">
        <f aca="false">IFERROR(AVERAGEIF('Workforce Data'!F:F,"L3",'Workforce Data'!H:H),0)</f>
        <v>72348.275862069</v>
      </c>
      <c r="E5" s="91" t="n">
        <f aca="false">IFERROR(minifs('Workforce Data'!H:H,'Workforce Data'!F:F,"L3"),0)</f>
        <v>0</v>
      </c>
      <c r="F5" s="91" t="n">
        <f aca="false">IFERROR(maxifs('Workforce Data'!H:H,'Workforce Data'!F:F,"L3"),0)</f>
        <v>0</v>
      </c>
      <c r="G5" s="91" t="n">
        <f aca="false">SUMIF('Workforce Data'!F:F,"L3",'Workforce Data'!K:K)</f>
        <v>5287000</v>
      </c>
    </row>
    <row r="6" customFormat="false" ht="24" hidden="false" customHeight="true" outlineLevel="0" collapsed="false">
      <c r="A6" s="90" t="s">
        <v>79</v>
      </c>
      <c r="B6" s="13" t="s">
        <v>80</v>
      </c>
      <c r="C6" s="91" t="n">
        <f aca="false">COUNTIF('Workforce Data'!F:F,"L4")</f>
        <v>27</v>
      </c>
      <c r="D6" s="91" t="n">
        <f aca="false">IFERROR(AVERAGEIF('Workforce Data'!F:F,"L4",'Workforce Data'!H:H),0)</f>
        <v>87970.3703703704</v>
      </c>
      <c r="E6" s="91" t="n">
        <f aca="false">IFERROR(minifs('Workforce Data'!H:H,'Workforce Data'!F:F,"L4"),0)</f>
        <v>0</v>
      </c>
      <c r="F6" s="91" t="n">
        <f aca="false">IFERROR(maxifs('Workforce Data'!H:H,'Workforce Data'!F:F,"L4"),0)</f>
        <v>0</v>
      </c>
      <c r="G6" s="91" t="n">
        <f aca="false">SUMIF('Workforce Data'!F:F,"L4",'Workforce Data'!K:K)</f>
        <v>3087900</v>
      </c>
    </row>
    <row r="7" customFormat="false" ht="24" hidden="false" customHeight="true" outlineLevel="0" collapsed="false">
      <c r="A7" s="92" t="s">
        <v>93</v>
      </c>
      <c r="B7" s="16" t="s">
        <v>94</v>
      </c>
      <c r="C7" s="93" t="n">
        <f aca="false">COUNTIF('Workforce Data'!F:F,"L5")</f>
        <v>18</v>
      </c>
      <c r="D7" s="93" t="n">
        <f aca="false">IFERROR(AVERAGEIF('Workforce Data'!F:F,"L5",'Workforce Data'!H:H),0)</f>
        <v>112211.111111111</v>
      </c>
      <c r="E7" s="93" t="n">
        <f aca="false">IFERROR(minifs('Workforce Data'!H:H,'Workforce Data'!F:F,"L5"),0)</f>
        <v>0</v>
      </c>
      <c r="F7" s="93" t="n">
        <f aca="false">IFERROR(maxifs('Workforce Data'!H:H,'Workforce Data'!F:F,"L5"),0)</f>
        <v>0</v>
      </c>
      <c r="G7" s="93" t="n">
        <f aca="false">SUMIF('Workforce Data'!F:F,"L5",'Workforce Data'!K:K)</f>
        <v>2686400</v>
      </c>
    </row>
    <row r="8" customFormat="false" ht="24" hidden="false" customHeight="true" outlineLevel="0" collapsed="false">
      <c r="A8" s="94" t="s">
        <v>64</v>
      </c>
      <c r="B8" s="95" t="s">
        <v>65</v>
      </c>
      <c r="C8" s="96" t="n">
        <f aca="false">COUNTIF('Workforce Data'!F:F,"L6")</f>
        <v>10</v>
      </c>
      <c r="D8" s="96" t="n">
        <f aca="false">IFERROR(AVERAGEIF('Workforce Data'!F:F,"L6",'Workforce Data'!H:H),0)</f>
        <v>140860</v>
      </c>
      <c r="E8" s="96" t="n">
        <f aca="false">IFERROR(minifs('Workforce Data'!H:H,'Workforce Data'!F:F,"L6"),0)</f>
        <v>0</v>
      </c>
      <c r="F8" s="96" t="n">
        <f aca="false">IFERROR(maxifs('Workforce Data'!H:H,'Workforce Data'!F:F,"L6"),0)</f>
        <v>0</v>
      </c>
      <c r="G8" s="96" t="n">
        <f aca="false">SUMIF('Workforce Data'!F:F,"L6",'Workforce Data'!K:K)</f>
        <v>1943700</v>
      </c>
    </row>
    <row r="9" customFormat="false" ht="24" hidden="false" customHeight="true" outlineLevel="0" collapsed="false">
      <c r="A9" s="97" t="s">
        <v>97</v>
      </c>
      <c r="B9" s="28" t="s">
        <v>98</v>
      </c>
      <c r="C9" s="98" t="n">
        <f aca="false">COUNTIF('Workforce Data'!F:F,"L7")</f>
        <v>2</v>
      </c>
      <c r="D9" s="98" t="n">
        <f aca="false">IFERROR(AVERAGEIF('Workforce Data'!F:F,"L7",'Workforce Data'!H:H),0)</f>
        <v>222650</v>
      </c>
      <c r="E9" s="98" t="n">
        <f aca="false">IFERROR(minifs('Workforce Data'!H:H,'Workforce Data'!F:F,"L7"),0)</f>
        <v>0</v>
      </c>
      <c r="F9" s="98" t="n">
        <f aca="false">IFERROR(maxifs('Workforce Data'!H:H,'Workforce Data'!F:F,"L7"),0)</f>
        <v>0</v>
      </c>
      <c r="G9" s="98" t="n">
        <f aca="false">SUMIF('Workforce Data'!F:F,"L7",'Workforce Data'!K:K)</f>
        <v>636700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2026-08-26T13:06:37Z</dcterms:created>
  <dc:creator>openpyxl</dc:creator>
  <dc:description/>
  <dc:language>en-US</dc:language>
  <cp:lastModifiedBy/>
  <dcterms:modified xsi:type="dcterms:W3CDTF">2026-08-26T13:06:45Z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