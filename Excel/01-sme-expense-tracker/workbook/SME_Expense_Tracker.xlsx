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Data" sheetId="1" state="visible" r:id="rId3"/>
    <sheet name="Monthly Summary" sheetId="2" state="visible" r:id="rId4"/>
    <sheet name="KPI Dashboard" sheetId="3" state="visible" r:id="rId5"/>
    <sheet name="Budget vs Actual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<sst xmlns="http://schemas.openxmlformats.org/spreadsheetml/2006/main" count="898" uniqueCount="129">
  <si>
    <t xml:space="preserve">#</t>
  </si>
  <si>
    <t xml:space="preserve">Date</t>
  </si>
  <si>
    <t xml:space="preserve">Month</t>
  </si>
  <si>
    <t xml:space="preserve">Quarter</t>
  </si>
  <si>
    <t xml:space="preserve">Category</t>
  </si>
  <si>
    <t xml:space="preserve">Department</t>
  </si>
  <si>
    <t xml:space="preserve">Description</t>
  </si>
  <si>
    <t xml:space="preserve">Budget (£)</t>
  </si>
  <si>
    <t xml:space="preserve">Actual (£)</t>
  </si>
  <si>
    <t xml:space="preserve">Variance (£)</t>
  </si>
  <si>
    <t xml:space="preserve">Variance %</t>
  </si>
  <si>
    <t xml:space="preserve">Status</t>
  </si>
  <si>
    <t xml:space="preserve">2024-01-01</t>
  </si>
  <si>
    <t xml:space="preserve">Jan</t>
  </si>
  <si>
    <t xml:space="preserve">Q1</t>
  </si>
  <si>
    <t xml:space="preserve">Rent &amp; Utilities</t>
  </si>
  <si>
    <t xml:space="preserve">Marketing</t>
  </si>
  <si>
    <t xml:space="preserve">Internet &amp; phones</t>
  </si>
  <si>
    <t xml:space="preserve">Professional Services</t>
  </si>
  <si>
    <t xml:space="preserve">Operations</t>
  </si>
  <si>
    <t xml:space="preserve">Accounting fees</t>
  </si>
  <si>
    <t xml:space="preserve">IT &amp; Software</t>
  </si>
  <si>
    <t xml:space="preserve">Finance</t>
  </si>
  <si>
    <t xml:space="preserve">SaaS subscriptions</t>
  </si>
  <si>
    <t xml:space="preserve">IT</t>
  </si>
  <si>
    <t xml:space="preserve">Water rates</t>
  </si>
  <si>
    <t xml:space="preserve">Salaries</t>
  </si>
  <si>
    <t xml:space="preserve">HR</t>
  </si>
  <si>
    <t xml:space="preserve">Monthly payroll</t>
  </si>
  <si>
    <t xml:space="preserve">Travel &amp; Expenses</t>
  </si>
  <si>
    <t xml:space="preserve">Client visit flights</t>
  </si>
  <si>
    <t xml:space="preserve">Office Supplies</t>
  </si>
  <si>
    <t xml:space="preserve">Coffee &amp; refreshments</t>
  </si>
  <si>
    <t xml:space="preserve">Sales</t>
  </si>
  <si>
    <t xml:space="preserve">Overtime pay</t>
  </si>
  <si>
    <t xml:space="preserve">Hardware purchase</t>
  </si>
  <si>
    <t xml:space="preserve">Stationery</t>
  </si>
  <si>
    <t xml:space="preserve">2024-02-01</t>
  </si>
  <si>
    <t xml:space="preserve">Feb</t>
  </si>
  <si>
    <t xml:space="preserve">Hotel accommodation</t>
  </si>
  <si>
    <t xml:space="preserve">IT support</t>
  </si>
  <si>
    <t xml:space="preserve">Cloud hosting</t>
  </si>
  <si>
    <t xml:space="preserve">Miscellaneous</t>
  </si>
  <si>
    <t xml:space="preserve">Insurance premium</t>
  </si>
  <si>
    <t xml:space="preserve">Trade show</t>
  </si>
  <si>
    <t xml:space="preserve">Electricity bill</t>
  </si>
  <si>
    <t xml:space="preserve">Sundry expenses</t>
  </si>
  <si>
    <t xml:space="preserve">Contractor fees</t>
  </si>
  <si>
    <t xml:space="preserve">2024-03-01</t>
  </si>
  <si>
    <t xml:space="preserve">Mar</t>
  </si>
  <si>
    <t xml:space="preserve">Digital advertising</t>
  </si>
  <si>
    <t xml:space="preserve">Taxi &amp; transport</t>
  </si>
  <si>
    <t xml:space="preserve">Cleaning supplies</t>
  </si>
  <si>
    <t xml:space="preserve">2024-04-01</t>
  </si>
  <si>
    <t xml:space="preserve">Apr</t>
  </si>
  <si>
    <t xml:space="preserve">Q2</t>
  </si>
  <si>
    <t xml:space="preserve">Print materials</t>
  </si>
  <si>
    <t xml:space="preserve">Bank charges</t>
  </si>
  <si>
    <t xml:space="preserve">Training &amp; Development</t>
  </si>
  <si>
    <t xml:space="preserve">Conference tickets</t>
  </si>
  <si>
    <t xml:space="preserve">Consulting</t>
  </si>
  <si>
    <t xml:space="preserve">Legal fees</t>
  </si>
  <si>
    <t xml:space="preserve">2024-05-01</t>
  </si>
  <si>
    <t xml:space="preserve">May</t>
  </si>
  <si>
    <t xml:space="preserve">Bonus payment</t>
  </si>
  <si>
    <t xml:space="preserve">Certification</t>
  </si>
  <si>
    <t xml:space="preserve">Office rent</t>
  </si>
  <si>
    <t xml:space="preserve">2024-06-01</t>
  </si>
  <si>
    <t xml:space="preserve">Jun</t>
  </si>
  <si>
    <t xml:space="preserve">Printer cartridges</t>
  </si>
  <si>
    <t xml:space="preserve">Staff training course</t>
  </si>
  <si>
    <t xml:space="preserve">Online learning</t>
  </si>
  <si>
    <t xml:space="preserve">2024-07-01</t>
  </si>
  <si>
    <t xml:space="preserve">Jul</t>
  </si>
  <si>
    <t xml:space="preserve">Q3</t>
  </si>
  <si>
    <t xml:space="preserve">Postage &amp; courier</t>
  </si>
  <si>
    <t xml:space="preserve">2024-08-01</t>
  </si>
  <si>
    <t xml:space="preserve">Aug</t>
  </si>
  <si>
    <t xml:space="preserve">SEO services</t>
  </si>
  <si>
    <t xml:space="preserve">2024-09-01</t>
  </si>
  <si>
    <t xml:space="preserve">Sep</t>
  </si>
  <si>
    <t xml:space="preserve">Recruitment agency</t>
  </si>
  <si>
    <t xml:space="preserve">2024-10-01</t>
  </si>
  <si>
    <t xml:space="preserve">Oct</t>
  </si>
  <si>
    <t xml:space="preserve">Q4</t>
  </si>
  <si>
    <t xml:space="preserve">Meal allowances</t>
  </si>
  <si>
    <t xml:space="preserve">2024-11-01</t>
  </si>
  <si>
    <t xml:space="preserve">Nov</t>
  </si>
  <si>
    <t xml:space="preserve">2024-12-01</t>
  </si>
  <si>
    <t xml:space="preserve">Dec</t>
  </si>
  <si>
    <t xml:space="preserve">SME Expense Tracker — Monthly Summary 2024</t>
  </si>
  <si>
    <t xml:space="preserve">Total</t>
  </si>
  <si>
    <t xml:space="preserve">GRAND TOTAL</t>
  </si>
  <si>
    <t xml:space="preserve">SME Expense Tracker — KPI Dashboard 2024</t>
  </si>
  <si>
    <t xml:space="preserve">KEY PERFORMANCE INDICATORS</t>
  </si>
  <si>
    <t xml:space="preserve">Total Budget (£)</t>
  </si>
  <si>
    <t xml:space="preserve">Total Actual (£)</t>
  </si>
  <si>
    <t xml:space="preserve">Total Variance (£)</t>
  </si>
  <si>
    <t xml:space="preserve">Over Budget Items</t>
  </si>
  <si>
    <t xml:space="preserve">Under Budget Items</t>
  </si>
  <si>
    <t xml:space="preserve">Total Transactions</t>
  </si>
  <si>
    <t xml:space="preserve">Avg Transaction (£)</t>
  </si>
  <si>
    <t xml:space="preserve">SPEND BY CATEGORY</t>
  </si>
  <si>
    <t xml:space="preserve">TOTAL</t>
  </si>
  <si>
    <t xml:space="preserve">Budget vs Actual — Monthly P&amp;L View 2024</t>
  </si>
  <si>
    <t xml:space="preserve">Budget £</t>
  </si>
  <si>
    <t xml:space="preserve">Actual £</t>
  </si>
  <si>
    <t xml:space="preserve">How to Use This Workbook</t>
  </si>
  <si>
    <t xml:space="preserve">Step</t>
  </si>
  <si>
    <t xml:space="preserve">Sheet</t>
  </si>
  <si>
    <t xml:space="preserve">Action</t>
  </si>
  <si>
    <t xml:space="preserve">Input Cells</t>
  </si>
  <si>
    <t xml:space="preserve">1</t>
  </si>
  <si>
    <t xml:space="preserve">Expense Data</t>
  </si>
  <si>
    <t xml:space="preserve">Add new expense rows below existing data. Fill columns B–I only. Columns J–L calculate automatically.</t>
  </si>
  <si>
    <t xml:space="preserve">B:I</t>
  </si>
  <si>
    <t xml:space="preserve">2</t>
  </si>
  <si>
    <t xml:space="preserve">Column H = Budget amount. Column I = Actual amount. Column J–L are formulas — do not edit.</t>
  </si>
  <si>
    <t xml:space="preserve">H, I</t>
  </si>
  <si>
    <t xml:space="preserve">3</t>
  </si>
  <si>
    <t xml:space="preserve">Monthly Summary</t>
  </si>
  <si>
    <t xml:space="preserve">This sheet updates automatically from Expense Data. No manual input needed.</t>
  </si>
  <si>
    <t xml:space="preserve">Read only</t>
  </si>
  <si>
    <t xml:space="preserve">4</t>
  </si>
  <si>
    <t xml:space="preserve">KPI Dashboard</t>
  </si>
  <si>
    <t xml:space="preserve">All KPIs update automatically. Review category over/under budget status.</t>
  </si>
  <si>
    <t xml:space="preserve">5</t>
  </si>
  <si>
    <t xml:space="preserve">Budget vs Actual</t>
  </si>
  <si>
    <t xml:space="preserve">H1 comparison (Jan–Jun) updates automatically. Extend to H2 (Jul–Dec) by adding more columns.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</si>
</sst>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2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n">
        <v>3440.88</v>
      </c>
      <c r="I2" s="3" t="n">
        <v>3249.1</v>
      </c>
      <c r="J2" s="3" t="n">
        <f aca="false">I2-H2</f>
        <v>-191.78</v>
      </c>
      <c r="K2" s="4" t="n">
        <f aca="false">IFERROR((I2-H2)/H2,0)</f>
        <v>-0.0557357420194835</v>
      </c>
      <c r="L2" s="2" t="str">
        <f aca="false">IF(J2&gt;0,"Over Budget",IF(J2&lt;0,"Under Budget","On Budget"))</f>
        <v>Under Budget</v>
      </c>
    </row>
    <row r="3" customFormat="false" ht="15" hidden="false" customHeight="false" outlineLevel="0" collapsed="false">
      <c r="A3" s="5" t="n">
        <v>2</v>
      </c>
      <c r="B3" s="5" t="s">
        <v>12</v>
      </c>
      <c r="C3" s="5" t="s">
        <v>13</v>
      </c>
      <c r="D3" s="5" t="s">
        <v>14</v>
      </c>
      <c r="E3" s="5" t="s">
        <v>18</v>
      </c>
      <c r="F3" s="5" t="s">
        <v>19</v>
      </c>
      <c r="G3" s="5" t="s">
        <v>20</v>
      </c>
      <c r="H3" s="6" t="n">
        <v>3943.49</v>
      </c>
      <c r="I3" s="6" t="n">
        <v>3104.77</v>
      </c>
      <c r="J3" s="6" t="n">
        <f aca="false">I3-H3</f>
        <v>-838.72</v>
      </c>
      <c r="K3" s="7" t="n">
        <f aca="false">IFERROR((I3-H3)/H3,0)</f>
        <v>-0.212684703143662</v>
      </c>
      <c r="L3" s="5" t="str">
        <f aca="false">IF(J3&gt;0,"Over Budget",IF(J3&lt;0,"Under Budget","On Budget"))</f>
        <v>Under Budget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14</v>
      </c>
      <c r="E4" s="2" t="s">
        <v>21</v>
      </c>
      <c r="F4" s="2" t="s">
        <v>22</v>
      </c>
      <c r="G4" s="2" t="s">
        <v>23</v>
      </c>
      <c r="H4" s="3" t="n">
        <v>1278.24</v>
      </c>
      <c r="I4" s="3" t="n">
        <v>1667.14</v>
      </c>
      <c r="J4" s="3" t="n">
        <f aca="false">I4-H4</f>
        <v>388.9</v>
      </c>
      <c r="K4" s="4" t="n">
        <f aca="false">IFERROR((I4-H4)/H4,0)</f>
        <v>0.304246463887846</v>
      </c>
      <c r="L4" s="2" t="str">
        <f aca="false">IF(J4&gt;0,"Over Budget",IF(J4&lt;0,"Under Budget","On Budget"))</f>
        <v>Over Budget</v>
      </c>
    </row>
    <row r="5" customFormat="false" ht="15" hidden="false" customHeight="false" outlineLevel="0" collapsed="false">
      <c r="A5" s="5" t="n">
        <v>4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24</v>
      </c>
      <c r="G5" s="5" t="s">
        <v>25</v>
      </c>
      <c r="H5" s="6" t="n">
        <v>4614.26</v>
      </c>
      <c r="I5" s="6" t="n">
        <v>4054.53</v>
      </c>
      <c r="J5" s="6" t="n">
        <f aca="false">I5-H5</f>
        <v>-559.73</v>
      </c>
      <c r="K5" s="7" t="n">
        <f aca="false">IFERROR((I5-H5)/H5,0)</f>
        <v>-0.121304391169982</v>
      </c>
      <c r="L5" s="5" t="str">
        <f aca="false">IF(J5&gt;0,"Over Budget",IF(J5&lt;0,"Under Budget","On Budget"))</f>
        <v>Under Budget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13</v>
      </c>
      <c r="D6" s="2" t="s">
        <v>14</v>
      </c>
      <c r="E6" s="2" t="s">
        <v>26</v>
      </c>
      <c r="F6" s="2" t="s">
        <v>27</v>
      </c>
      <c r="G6" s="2" t="s">
        <v>28</v>
      </c>
      <c r="H6" s="3" t="n">
        <v>11864.28</v>
      </c>
      <c r="I6" s="3" t="n">
        <v>10659.4</v>
      </c>
      <c r="J6" s="3" t="n">
        <f aca="false">I6-H6</f>
        <v>-1204.88</v>
      </c>
      <c r="K6" s="4" t="n">
        <f aca="false">IFERROR((I6-H6)/H6,0)</f>
        <v>-0.101555256619028</v>
      </c>
      <c r="L6" s="2" t="str">
        <f aca="false">IF(J6&gt;0,"Over Budget",IF(J6&lt;0,"Under Budget","On Budget"))</f>
        <v>Under Budget</v>
      </c>
    </row>
    <row r="7" customFormat="false" ht="15" hidden="false" customHeight="false" outlineLevel="0" collapsed="false">
      <c r="A7" s="5" t="n">
        <v>6</v>
      </c>
      <c r="B7" s="5" t="s">
        <v>12</v>
      </c>
      <c r="C7" s="5" t="s">
        <v>13</v>
      </c>
      <c r="D7" s="5" t="s">
        <v>14</v>
      </c>
      <c r="E7" s="5" t="s">
        <v>18</v>
      </c>
      <c r="F7" s="5" t="s">
        <v>22</v>
      </c>
      <c r="G7" s="5" t="s">
        <v>20</v>
      </c>
      <c r="H7" s="6" t="n">
        <v>3966</v>
      </c>
      <c r="I7" s="6" t="n">
        <v>4435.45</v>
      </c>
      <c r="J7" s="6" t="n">
        <f aca="false">I7-H7</f>
        <v>469.45</v>
      </c>
      <c r="K7" s="7" t="n">
        <f aca="false">IFERROR((I7-H7)/H7,0)</f>
        <v>0.118368633383762</v>
      </c>
      <c r="L7" s="5" t="str">
        <f aca="false">IF(J7&gt;0,"Over Budget",IF(J7&lt;0,"Under Budget","On Budget"))</f>
        <v>Over Budget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13</v>
      </c>
      <c r="D8" s="2" t="s">
        <v>14</v>
      </c>
      <c r="E8" s="2" t="s">
        <v>29</v>
      </c>
      <c r="F8" s="2" t="s">
        <v>22</v>
      </c>
      <c r="G8" s="2" t="s">
        <v>30</v>
      </c>
      <c r="H8" s="3" t="n">
        <v>1782.98</v>
      </c>
      <c r="I8" s="3" t="n">
        <v>1499.9</v>
      </c>
      <c r="J8" s="3" t="n">
        <f aca="false">I8-H8</f>
        <v>-283.08</v>
      </c>
      <c r="K8" s="4" t="n">
        <f aca="false">IFERROR((I8-H8)/H8,0)</f>
        <v>-0.158767905416774</v>
      </c>
      <c r="L8" s="2" t="str">
        <f aca="false">IF(J8&gt;0,"Over Budget",IF(J8&lt;0,"Under Budget","On Budget"))</f>
        <v>Under Budget</v>
      </c>
    </row>
    <row r="9" customFormat="false" ht="15" hidden="false" customHeight="false" outlineLevel="0" collapsed="false">
      <c r="A9" s="5" t="n">
        <v>8</v>
      </c>
      <c r="B9" s="5" t="s">
        <v>12</v>
      </c>
      <c r="C9" s="5" t="s">
        <v>13</v>
      </c>
      <c r="D9" s="5" t="s">
        <v>14</v>
      </c>
      <c r="E9" s="5" t="s">
        <v>31</v>
      </c>
      <c r="F9" s="5" t="s">
        <v>27</v>
      </c>
      <c r="G9" s="5" t="s">
        <v>32</v>
      </c>
      <c r="H9" s="6" t="n">
        <v>297.59</v>
      </c>
      <c r="I9" s="6" t="n">
        <v>271.06</v>
      </c>
      <c r="J9" s="6" t="n">
        <f aca="false">I9-H9</f>
        <v>-26.53</v>
      </c>
      <c r="K9" s="7" t="n">
        <f aca="false">IFERROR((I9-H9)/H9,0)</f>
        <v>-0.0891495009912967</v>
      </c>
      <c r="L9" s="5" t="str">
        <f aca="false">IF(J9&gt;0,"Over Budget",IF(J9&lt;0,"Under Budget","On Budget"))</f>
        <v>Under Budget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13</v>
      </c>
      <c r="D10" s="2" t="s">
        <v>14</v>
      </c>
      <c r="E10" s="2" t="s">
        <v>26</v>
      </c>
      <c r="F10" s="2" t="s">
        <v>16</v>
      </c>
      <c r="G10" s="2" t="s">
        <v>28</v>
      </c>
      <c r="H10" s="3" t="n">
        <v>12263.92</v>
      </c>
      <c r="I10" s="3" t="n">
        <v>15559.7</v>
      </c>
      <c r="J10" s="3" t="n">
        <f aca="false">I10-H10</f>
        <v>3295.78</v>
      </c>
      <c r="K10" s="4" t="n">
        <f aca="false">IFERROR((I10-H10)/H10,0)</f>
        <v>0.268737891310446</v>
      </c>
      <c r="L10" s="2" t="str">
        <f aca="false">IF(J10&gt;0,"Over Budget",IF(J10&lt;0,"Under Budget","On Budget"))</f>
        <v>Over Budget</v>
      </c>
    </row>
    <row r="11" customFormat="false" ht="15" hidden="false" customHeight="false" outlineLevel="0" collapsed="false">
      <c r="A11" s="5" t="n">
        <v>10</v>
      </c>
      <c r="B11" s="5" t="s">
        <v>12</v>
      </c>
      <c r="C11" s="5" t="s">
        <v>13</v>
      </c>
      <c r="D11" s="5" t="s">
        <v>14</v>
      </c>
      <c r="E11" s="5" t="s">
        <v>26</v>
      </c>
      <c r="F11" s="5" t="s">
        <v>33</v>
      </c>
      <c r="G11" s="5" t="s">
        <v>34</v>
      </c>
      <c r="H11" s="6" t="n">
        <v>10656.19</v>
      </c>
      <c r="I11" s="6" t="n">
        <v>9628.93</v>
      </c>
      <c r="J11" s="6" t="n">
        <f aca="false">I11-H11</f>
        <v>-1027.26</v>
      </c>
      <c r="K11" s="7" t="n">
        <f aca="false">IFERROR((I11-H11)/H11,0)</f>
        <v>-0.0964003081776883</v>
      </c>
      <c r="L11" s="5" t="str">
        <f aca="false">IF(J11&gt;0,"Over Budget",IF(J11&lt;0,"Under Budget","On Budget"))</f>
        <v>Under Budget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13</v>
      </c>
      <c r="D12" s="2" t="s">
        <v>14</v>
      </c>
      <c r="E12" s="2" t="s">
        <v>21</v>
      </c>
      <c r="F12" s="2" t="s">
        <v>24</v>
      </c>
      <c r="G12" s="2" t="s">
        <v>35</v>
      </c>
      <c r="H12" s="3" t="n">
        <v>3053.84</v>
      </c>
      <c r="I12" s="3" t="n">
        <v>2859.13</v>
      </c>
      <c r="J12" s="3" t="n">
        <f aca="false">I12-H12</f>
        <v>-194.71</v>
      </c>
      <c r="K12" s="4" t="n">
        <f aca="false">IFERROR((I12-H12)/H12,0)</f>
        <v>-0.0637590705472454</v>
      </c>
      <c r="L12" s="2" t="str">
        <f aca="false">IF(J12&gt;0,"Over Budget",IF(J12&lt;0,"Under Budget","On Budget"))</f>
        <v>Under Budget</v>
      </c>
    </row>
    <row r="13" customFormat="false" ht="15" hidden="false" customHeight="false" outlineLevel="0" collapsed="false">
      <c r="A13" s="5" t="n">
        <v>12</v>
      </c>
      <c r="B13" s="5" t="s">
        <v>12</v>
      </c>
      <c r="C13" s="5" t="s">
        <v>13</v>
      </c>
      <c r="D13" s="5" t="s">
        <v>14</v>
      </c>
      <c r="E13" s="5" t="s">
        <v>31</v>
      </c>
      <c r="F13" s="5" t="s">
        <v>33</v>
      </c>
      <c r="G13" s="5" t="s">
        <v>36</v>
      </c>
      <c r="H13" s="6" t="n">
        <v>683.03</v>
      </c>
      <c r="I13" s="6" t="n">
        <v>523.12</v>
      </c>
      <c r="J13" s="6" t="n">
        <f aca="false">I13-H13</f>
        <v>-159.91</v>
      </c>
      <c r="K13" s="7" t="n">
        <f aca="false">IFERROR((I13-H13)/H13,0)</f>
        <v>-0.234118559946122</v>
      </c>
      <c r="L13" s="5" t="str">
        <f aca="false">IF(J13&gt;0,"Over Budget",IF(J13&lt;0,"Under Budget","On Budget"))</f>
        <v>Under Budget</v>
      </c>
    </row>
    <row r="14" customFormat="false" ht="15" hidden="false" customHeight="false" outlineLevel="0" collapsed="false">
      <c r="A14" s="2" t="n">
        <v>13</v>
      </c>
      <c r="B14" s="2" t="s">
        <v>12</v>
      </c>
      <c r="C14" s="2" t="s">
        <v>13</v>
      </c>
      <c r="D14" s="2" t="s">
        <v>14</v>
      </c>
      <c r="E14" s="2" t="s">
        <v>31</v>
      </c>
      <c r="F14" s="2" t="s">
        <v>24</v>
      </c>
      <c r="G14" s="2" t="s">
        <v>32</v>
      </c>
      <c r="H14" s="3" t="n">
        <v>327.58</v>
      </c>
      <c r="I14" s="3" t="n">
        <v>315.24</v>
      </c>
      <c r="J14" s="3" t="n">
        <f aca="false">I14-H14</f>
        <v>-12.34</v>
      </c>
      <c r="K14" s="4" t="n">
        <f aca="false">IFERROR((I14-H14)/H14,0)</f>
        <v>-0.0376701874351303</v>
      </c>
      <c r="L14" s="2" t="str">
        <f aca="false">IF(J14&gt;0,"Over Budget",IF(J14&lt;0,"Under Budget","On Budget"))</f>
        <v>Under Budget</v>
      </c>
    </row>
    <row r="15" customFormat="false" ht="15" hidden="false" customHeight="false" outlineLevel="0" collapsed="false">
      <c r="A15" s="5" t="n">
        <v>14</v>
      </c>
      <c r="B15" s="5" t="s">
        <v>37</v>
      </c>
      <c r="C15" s="5" t="s">
        <v>38</v>
      </c>
      <c r="D15" s="5" t="s">
        <v>14</v>
      </c>
      <c r="E15" s="5" t="s">
        <v>29</v>
      </c>
      <c r="F15" s="5" t="s">
        <v>19</v>
      </c>
      <c r="G15" s="5" t="s">
        <v>39</v>
      </c>
      <c r="H15" s="6" t="n">
        <v>1441.17</v>
      </c>
      <c r="I15" s="6" t="n">
        <v>1226.89</v>
      </c>
      <c r="J15" s="6" t="n">
        <f aca="false">I15-H15</f>
        <v>-214.28</v>
      </c>
      <c r="K15" s="7" t="n">
        <f aca="false">IFERROR((I15-H15)/H15,0)</f>
        <v>-0.148684749196833</v>
      </c>
      <c r="L15" s="5" t="str">
        <f aca="false">IF(J15&gt;0,"Over Budget",IF(J15&lt;0,"Under Budget","On Budget"))</f>
        <v>Under Budget</v>
      </c>
    </row>
    <row r="16" customFormat="false" ht="15" hidden="false" customHeight="false" outlineLevel="0" collapsed="false">
      <c r="A16" s="2" t="n">
        <v>15</v>
      </c>
      <c r="B16" s="2" t="s">
        <v>37</v>
      </c>
      <c r="C16" s="2" t="s">
        <v>38</v>
      </c>
      <c r="D16" s="2" t="s">
        <v>14</v>
      </c>
      <c r="E16" s="2" t="s">
        <v>21</v>
      </c>
      <c r="F16" s="2" t="s">
        <v>19</v>
      </c>
      <c r="G16" s="2" t="s">
        <v>40</v>
      </c>
      <c r="H16" s="3" t="n">
        <v>2144.86</v>
      </c>
      <c r="I16" s="3" t="n">
        <v>1881.02</v>
      </c>
      <c r="J16" s="3" t="n">
        <f aca="false">I16-H16</f>
        <v>-263.84</v>
      </c>
      <c r="K16" s="4" t="n">
        <f aca="false">IFERROR((I16-H16)/H16,0)</f>
        <v>-0.123010359650513</v>
      </c>
      <c r="L16" s="2" t="str">
        <f aca="false">IF(J16&gt;0,"Over Budget",IF(J16&lt;0,"Under Budget","On Budget"))</f>
        <v>Under Budget</v>
      </c>
    </row>
    <row r="17" customFormat="false" ht="15" hidden="false" customHeight="false" outlineLevel="0" collapsed="false">
      <c r="A17" s="5" t="n">
        <v>16</v>
      </c>
      <c r="B17" s="5" t="s">
        <v>37</v>
      </c>
      <c r="C17" s="5" t="s">
        <v>38</v>
      </c>
      <c r="D17" s="5" t="s">
        <v>14</v>
      </c>
      <c r="E17" s="5" t="s">
        <v>21</v>
      </c>
      <c r="F17" s="5" t="s">
        <v>24</v>
      </c>
      <c r="G17" s="5" t="s">
        <v>23</v>
      </c>
      <c r="H17" s="6" t="n">
        <v>3040.85</v>
      </c>
      <c r="I17" s="6" t="n">
        <v>4000.05</v>
      </c>
      <c r="J17" s="6" t="n">
        <f aca="false">I17-H17</f>
        <v>959.2</v>
      </c>
      <c r="K17" s="7" t="n">
        <f aca="false">IFERROR((I17-H17)/H17,0)</f>
        <v>0.315438117631583</v>
      </c>
      <c r="L17" s="5" t="str">
        <f aca="false">IF(J17&gt;0,"Over Budget",IF(J17&lt;0,"Under Budget","On Budget"))</f>
        <v>Over Budget</v>
      </c>
    </row>
    <row r="18" customFormat="false" ht="15" hidden="false" customHeight="false" outlineLevel="0" collapsed="false">
      <c r="A18" s="2" t="n">
        <v>17</v>
      </c>
      <c r="B18" s="2" t="s">
        <v>37</v>
      </c>
      <c r="C18" s="2" t="s">
        <v>38</v>
      </c>
      <c r="D18" s="2" t="s">
        <v>14</v>
      </c>
      <c r="E18" s="2" t="s">
        <v>31</v>
      </c>
      <c r="F18" s="2" t="s">
        <v>22</v>
      </c>
      <c r="G18" s="2" t="s">
        <v>32</v>
      </c>
      <c r="H18" s="3" t="n">
        <v>266.93</v>
      </c>
      <c r="I18" s="3" t="n">
        <v>229.26</v>
      </c>
      <c r="J18" s="3" t="n">
        <f aca="false">I18-H18</f>
        <v>-37.67</v>
      </c>
      <c r="K18" s="4" t="n">
        <f aca="false">IFERROR((I18-H18)/H18,0)</f>
        <v>-0.141123140898363</v>
      </c>
      <c r="L18" s="2" t="str">
        <f aca="false">IF(J18&gt;0,"Over Budget",IF(J18&lt;0,"Under Budget","On Budget"))</f>
        <v>Under Budget</v>
      </c>
    </row>
    <row r="19" customFormat="false" ht="15" hidden="false" customHeight="false" outlineLevel="0" collapsed="false">
      <c r="A19" s="5" t="n">
        <v>18</v>
      </c>
      <c r="B19" s="5" t="s">
        <v>37</v>
      </c>
      <c r="C19" s="5" t="s">
        <v>38</v>
      </c>
      <c r="D19" s="5" t="s">
        <v>14</v>
      </c>
      <c r="E19" s="5" t="s">
        <v>21</v>
      </c>
      <c r="F19" s="5" t="s">
        <v>16</v>
      </c>
      <c r="G19" s="5" t="s">
        <v>41</v>
      </c>
      <c r="H19" s="6" t="n">
        <v>3915.66</v>
      </c>
      <c r="I19" s="6" t="n">
        <v>3413.84</v>
      </c>
      <c r="J19" s="6" t="n">
        <f aca="false">I19-H19</f>
        <v>-501.82</v>
      </c>
      <c r="K19" s="7" t="n">
        <f aca="false">IFERROR((I19-H19)/H19,0)</f>
        <v>-0.12815719444487</v>
      </c>
      <c r="L19" s="5" t="str">
        <f aca="false">IF(J19&gt;0,"Over Budget",IF(J19&lt;0,"Under Budget","On Budget"))</f>
        <v>Under Budget</v>
      </c>
    </row>
    <row r="20" customFormat="false" ht="15" hidden="false" customHeight="false" outlineLevel="0" collapsed="false">
      <c r="A20" s="2" t="n">
        <v>19</v>
      </c>
      <c r="B20" s="2" t="s">
        <v>37</v>
      </c>
      <c r="C20" s="2" t="s">
        <v>38</v>
      </c>
      <c r="D20" s="2" t="s">
        <v>14</v>
      </c>
      <c r="E20" s="2" t="s">
        <v>31</v>
      </c>
      <c r="F20" s="2" t="s">
        <v>19</v>
      </c>
      <c r="G20" s="2" t="s">
        <v>32</v>
      </c>
      <c r="H20" s="3" t="n">
        <v>705</v>
      </c>
      <c r="I20" s="3" t="n">
        <v>562.41</v>
      </c>
      <c r="J20" s="3" t="n">
        <f aca="false">I20-H20</f>
        <v>-142.59</v>
      </c>
      <c r="K20" s="4" t="n">
        <f aca="false">IFERROR((I20-H20)/H20,0)</f>
        <v>-0.202255319148936</v>
      </c>
      <c r="L20" s="2" t="str">
        <f aca="false">IF(J20&gt;0,"Over Budget",IF(J20&lt;0,"Under Budget","On Budget"))</f>
        <v>Under Budget</v>
      </c>
    </row>
    <row r="21" customFormat="false" ht="15" hidden="false" customHeight="false" outlineLevel="0" collapsed="false">
      <c r="A21" s="5" t="n">
        <v>20</v>
      </c>
      <c r="B21" s="5" t="s">
        <v>37</v>
      </c>
      <c r="C21" s="5" t="s">
        <v>38</v>
      </c>
      <c r="D21" s="5" t="s">
        <v>14</v>
      </c>
      <c r="E21" s="5" t="s">
        <v>42</v>
      </c>
      <c r="F21" s="5" t="s">
        <v>22</v>
      </c>
      <c r="G21" s="5" t="s">
        <v>43</v>
      </c>
      <c r="H21" s="6" t="n">
        <v>315.75</v>
      </c>
      <c r="I21" s="6" t="n">
        <v>277</v>
      </c>
      <c r="J21" s="6" t="n">
        <f aca="false">I21-H21</f>
        <v>-38.75</v>
      </c>
      <c r="K21" s="7" t="n">
        <f aca="false">IFERROR((I21-H21)/H21,0)</f>
        <v>-0.122723673792557</v>
      </c>
      <c r="L21" s="5" t="str">
        <f aca="false">IF(J21&gt;0,"Over Budget",IF(J21&lt;0,"Under Budget","On Budget"))</f>
        <v>Under Budget</v>
      </c>
    </row>
    <row r="22" customFormat="false" ht="15" hidden="false" customHeight="false" outlineLevel="0" collapsed="false">
      <c r="A22" s="2" t="n">
        <v>21</v>
      </c>
      <c r="B22" s="2" t="s">
        <v>37</v>
      </c>
      <c r="C22" s="2" t="s">
        <v>38</v>
      </c>
      <c r="D22" s="2" t="s">
        <v>14</v>
      </c>
      <c r="E22" s="2" t="s">
        <v>16</v>
      </c>
      <c r="F22" s="2" t="s">
        <v>19</v>
      </c>
      <c r="G22" s="2" t="s">
        <v>44</v>
      </c>
      <c r="H22" s="3" t="n">
        <v>3954.42</v>
      </c>
      <c r="I22" s="3" t="n">
        <v>4582.75</v>
      </c>
      <c r="J22" s="3" t="n">
        <f aca="false">I22-H22</f>
        <v>628.33</v>
      </c>
      <c r="K22" s="4" t="n">
        <f aca="false">IFERROR((I22-H22)/H22,0)</f>
        <v>0.158893086723211</v>
      </c>
      <c r="L22" s="2" t="str">
        <f aca="false">IF(J22&gt;0,"Over Budget",IF(J22&lt;0,"Under Budget","On Budget"))</f>
        <v>Over Budget</v>
      </c>
    </row>
    <row r="23" customFormat="false" ht="15" hidden="false" customHeight="false" outlineLevel="0" collapsed="false">
      <c r="A23" s="5" t="n">
        <v>22</v>
      </c>
      <c r="B23" s="5" t="s">
        <v>37</v>
      </c>
      <c r="C23" s="5" t="s">
        <v>38</v>
      </c>
      <c r="D23" s="5" t="s">
        <v>14</v>
      </c>
      <c r="E23" s="5" t="s">
        <v>15</v>
      </c>
      <c r="F23" s="5" t="s">
        <v>22</v>
      </c>
      <c r="G23" s="5" t="s">
        <v>45</v>
      </c>
      <c r="H23" s="6" t="n">
        <v>3115.85</v>
      </c>
      <c r="I23" s="6" t="n">
        <v>3045.02</v>
      </c>
      <c r="J23" s="6" t="n">
        <f aca="false">I23-H23</f>
        <v>-70.8299999999999</v>
      </c>
      <c r="K23" s="7" t="n">
        <f aca="false">IFERROR((I23-H23)/H23,0)</f>
        <v>-0.0227321597637884</v>
      </c>
      <c r="L23" s="5" t="str">
        <f aca="false">IF(J23&gt;0,"Over Budget",IF(J23&lt;0,"Under Budget","On Budget"))</f>
        <v>Under Budget</v>
      </c>
    </row>
    <row r="24" customFormat="false" ht="15" hidden="false" customHeight="false" outlineLevel="0" collapsed="false">
      <c r="A24" s="2" t="n">
        <v>23</v>
      </c>
      <c r="B24" s="2" t="s">
        <v>37</v>
      </c>
      <c r="C24" s="2" t="s">
        <v>38</v>
      </c>
      <c r="D24" s="2" t="s">
        <v>14</v>
      </c>
      <c r="E24" s="2" t="s">
        <v>42</v>
      </c>
      <c r="F24" s="2" t="s">
        <v>19</v>
      </c>
      <c r="G24" s="2" t="s">
        <v>46</v>
      </c>
      <c r="H24" s="3" t="n">
        <v>426.41</v>
      </c>
      <c r="I24" s="3" t="n">
        <v>374.32</v>
      </c>
      <c r="J24" s="3" t="n">
        <f aca="false">I24-H24</f>
        <v>-52.09</v>
      </c>
      <c r="K24" s="4" t="n">
        <f aca="false">IFERROR((I24-H24)/H24,0)</f>
        <v>-0.122159424028517</v>
      </c>
      <c r="L24" s="2" t="str">
        <f aca="false">IF(J24&gt;0,"Over Budget",IF(J24&lt;0,"Under Budget","On Budget"))</f>
        <v>Under Budget</v>
      </c>
    </row>
    <row r="25" customFormat="false" ht="15" hidden="false" customHeight="false" outlineLevel="0" collapsed="false">
      <c r="A25" s="5" t="n">
        <v>24</v>
      </c>
      <c r="B25" s="5" t="s">
        <v>37</v>
      </c>
      <c r="C25" s="5" t="s">
        <v>38</v>
      </c>
      <c r="D25" s="5" t="s">
        <v>14</v>
      </c>
      <c r="E25" s="5" t="s">
        <v>29</v>
      </c>
      <c r="F25" s="5" t="s">
        <v>33</v>
      </c>
      <c r="G25" s="5" t="s">
        <v>39</v>
      </c>
      <c r="H25" s="6" t="n">
        <v>1489.63</v>
      </c>
      <c r="I25" s="6" t="n">
        <v>1176.26</v>
      </c>
      <c r="J25" s="6" t="n">
        <f aca="false">I25-H25</f>
        <v>-313.37</v>
      </c>
      <c r="K25" s="7" t="n">
        <f aca="false">IFERROR((I25-H25)/H25,0)</f>
        <v>-0.210367675194511</v>
      </c>
      <c r="L25" s="5" t="str">
        <f aca="false">IF(J25&gt;0,"Over Budget",IF(J25&lt;0,"Under Budget","On Budget"))</f>
        <v>Under Budget</v>
      </c>
    </row>
    <row r="26" customFormat="false" ht="15" hidden="false" customHeight="false" outlineLevel="0" collapsed="false">
      <c r="A26" s="2" t="n">
        <v>25</v>
      </c>
      <c r="B26" s="2" t="s">
        <v>37</v>
      </c>
      <c r="C26" s="2" t="s">
        <v>38</v>
      </c>
      <c r="D26" s="2" t="s">
        <v>14</v>
      </c>
      <c r="E26" s="2" t="s">
        <v>26</v>
      </c>
      <c r="F26" s="2" t="s">
        <v>24</v>
      </c>
      <c r="G26" s="2" t="s">
        <v>34</v>
      </c>
      <c r="H26" s="3" t="n">
        <v>14750.54</v>
      </c>
      <c r="I26" s="3" t="n">
        <v>13736.64</v>
      </c>
      <c r="J26" s="3" t="n">
        <f aca="false">I26-H26</f>
        <v>-1013.9</v>
      </c>
      <c r="K26" s="4" t="n">
        <f aca="false">IFERROR((I26-H26)/H26,0)</f>
        <v>-0.0687364665971552</v>
      </c>
      <c r="L26" s="2" t="str">
        <f aca="false">IF(J26&gt;0,"Over Budget",IF(J26&lt;0,"Under Budget","On Budget"))</f>
        <v>Under Budget</v>
      </c>
    </row>
    <row r="27" customFormat="false" ht="15" hidden="false" customHeight="false" outlineLevel="0" collapsed="false">
      <c r="A27" s="5" t="n">
        <v>26</v>
      </c>
      <c r="B27" s="5" t="s">
        <v>37</v>
      </c>
      <c r="C27" s="5" t="s">
        <v>38</v>
      </c>
      <c r="D27" s="5" t="s">
        <v>14</v>
      </c>
      <c r="E27" s="5" t="s">
        <v>26</v>
      </c>
      <c r="F27" s="5" t="s">
        <v>16</v>
      </c>
      <c r="G27" s="5" t="s">
        <v>47</v>
      </c>
      <c r="H27" s="6" t="n">
        <v>12990.64</v>
      </c>
      <c r="I27" s="6" t="n">
        <v>11837.13</v>
      </c>
      <c r="J27" s="6" t="n">
        <f aca="false">I27-H27</f>
        <v>-1153.51</v>
      </c>
      <c r="K27" s="7" t="n">
        <f aca="false">IFERROR((I27-H27)/H27,0)</f>
        <v>-0.0887954712008031</v>
      </c>
      <c r="L27" s="5" t="str">
        <f aca="false">IF(J27&gt;0,"Over Budget",IF(J27&lt;0,"Under Budget","On Budget"))</f>
        <v>Under Budget</v>
      </c>
    </row>
    <row r="28" customFormat="false" ht="15" hidden="false" customHeight="false" outlineLevel="0" collapsed="false">
      <c r="A28" s="2" t="n">
        <v>27</v>
      </c>
      <c r="B28" s="2" t="s">
        <v>48</v>
      </c>
      <c r="C28" s="2" t="s">
        <v>49</v>
      </c>
      <c r="D28" s="2" t="s">
        <v>14</v>
      </c>
      <c r="E28" s="2" t="s">
        <v>16</v>
      </c>
      <c r="F28" s="2" t="s">
        <v>33</v>
      </c>
      <c r="G28" s="2" t="s">
        <v>50</v>
      </c>
      <c r="H28" s="3" t="n">
        <v>5621.68</v>
      </c>
      <c r="I28" s="3" t="n">
        <v>4311.86</v>
      </c>
      <c r="J28" s="3" t="n">
        <f aca="false">I28-H28</f>
        <v>-1309.82</v>
      </c>
      <c r="K28" s="4" t="n">
        <f aca="false">IFERROR((I28-H28)/H28,0)</f>
        <v>-0.23299440736577</v>
      </c>
      <c r="L28" s="2" t="str">
        <f aca="false">IF(J28&gt;0,"Over Budget",IF(J28&lt;0,"Under Budget","On Budget"))</f>
        <v>Under Budget</v>
      </c>
    </row>
    <row r="29" customFormat="false" ht="15" hidden="false" customHeight="false" outlineLevel="0" collapsed="false">
      <c r="A29" s="5" t="n">
        <v>28</v>
      </c>
      <c r="B29" s="5" t="s">
        <v>48</v>
      </c>
      <c r="C29" s="5" t="s">
        <v>49</v>
      </c>
      <c r="D29" s="5" t="s">
        <v>14</v>
      </c>
      <c r="E29" s="5" t="s">
        <v>29</v>
      </c>
      <c r="F29" s="5" t="s">
        <v>33</v>
      </c>
      <c r="G29" s="5" t="s">
        <v>51</v>
      </c>
      <c r="H29" s="6" t="n">
        <v>1503.47</v>
      </c>
      <c r="I29" s="6" t="n">
        <v>1638.32</v>
      </c>
      <c r="J29" s="6" t="n">
        <f aca="false">I29-H29</f>
        <v>134.85</v>
      </c>
      <c r="K29" s="7" t="n">
        <f aca="false">IFERROR((I29-H29)/H29,0)</f>
        <v>0.0896925113238042</v>
      </c>
      <c r="L29" s="5" t="str">
        <f aca="false">IF(J29&gt;0,"Over Budget",IF(J29&lt;0,"Under Budget","On Budget"))</f>
        <v>Over Budget</v>
      </c>
    </row>
    <row r="30" customFormat="false" ht="15" hidden="false" customHeight="false" outlineLevel="0" collapsed="false">
      <c r="A30" s="2" t="n">
        <v>29</v>
      </c>
      <c r="B30" s="2" t="s">
        <v>48</v>
      </c>
      <c r="C30" s="2" t="s">
        <v>49</v>
      </c>
      <c r="D30" s="2" t="s">
        <v>14</v>
      </c>
      <c r="E30" s="2" t="s">
        <v>15</v>
      </c>
      <c r="F30" s="2" t="s">
        <v>24</v>
      </c>
      <c r="G30" s="2" t="s">
        <v>17</v>
      </c>
      <c r="H30" s="3" t="n">
        <v>3485.99</v>
      </c>
      <c r="I30" s="3" t="n">
        <v>2955.05</v>
      </c>
      <c r="J30" s="3" t="n">
        <f aca="false">I30-H30</f>
        <v>-530.94</v>
      </c>
      <c r="K30" s="4" t="n">
        <f aca="false">IFERROR((I30-H30)/H30,0)</f>
        <v>-0.152306805240405</v>
      </c>
      <c r="L30" s="2" t="str">
        <f aca="false">IF(J30&gt;0,"Over Budget",IF(J30&lt;0,"Under Budget","On Budget"))</f>
        <v>Under Budget</v>
      </c>
    </row>
    <row r="31" customFormat="false" ht="15" hidden="false" customHeight="false" outlineLevel="0" collapsed="false">
      <c r="A31" s="5" t="n">
        <v>30</v>
      </c>
      <c r="B31" s="5" t="s">
        <v>48</v>
      </c>
      <c r="C31" s="5" t="s">
        <v>49</v>
      </c>
      <c r="D31" s="5" t="s">
        <v>14</v>
      </c>
      <c r="E31" s="5" t="s">
        <v>21</v>
      </c>
      <c r="F31" s="5" t="s">
        <v>19</v>
      </c>
      <c r="G31" s="5" t="s">
        <v>23</v>
      </c>
      <c r="H31" s="6" t="n">
        <v>2976.95</v>
      </c>
      <c r="I31" s="6" t="n">
        <v>2526.43</v>
      </c>
      <c r="J31" s="6" t="n">
        <f aca="false">I31-H31</f>
        <v>-450.52</v>
      </c>
      <c r="K31" s="7" t="n">
        <f aca="false">IFERROR((I31-H31)/H31,0)</f>
        <v>-0.151336099027528</v>
      </c>
      <c r="L31" s="5" t="str">
        <f aca="false">IF(J31&gt;0,"Over Budget",IF(J31&lt;0,"Under Budget","On Budget"))</f>
        <v>Under Budget</v>
      </c>
    </row>
    <row r="32" customFormat="false" ht="15" hidden="false" customHeight="false" outlineLevel="0" collapsed="false">
      <c r="A32" s="2" t="n">
        <v>31</v>
      </c>
      <c r="B32" s="2" t="s">
        <v>48</v>
      </c>
      <c r="C32" s="2" t="s">
        <v>49</v>
      </c>
      <c r="D32" s="2" t="s">
        <v>14</v>
      </c>
      <c r="E32" s="2" t="s">
        <v>16</v>
      </c>
      <c r="F32" s="2" t="s">
        <v>16</v>
      </c>
      <c r="G32" s="2" t="s">
        <v>50</v>
      </c>
      <c r="H32" s="3" t="n">
        <v>4693.46</v>
      </c>
      <c r="I32" s="3" t="n">
        <v>3630.96</v>
      </c>
      <c r="J32" s="3" t="n">
        <f aca="false">I32-H32</f>
        <v>-1062.5</v>
      </c>
      <c r="K32" s="4" t="n">
        <f aca="false">IFERROR((I32-H32)/H32,0)</f>
        <v>-0.2263788335258</v>
      </c>
      <c r="L32" s="2" t="str">
        <f aca="false">IF(J32&gt;0,"Over Budget",IF(J32&lt;0,"Under Budget","On Budget"))</f>
        <v>Under Budget</v>
      </c>
    </row>
    <row r="33" customFormat="false" ht="15" hidden="false" customHeight="false" outlineLevel="0" collapsed="false">
      <c r="A33" s="5" t="n">
        <v>32</v>
      </c>
      <c r="B33" s="5" t="s">
        <v>48</v>
      </c>
      <c r="C33" s="5" t="s">
        <v>49</v>
      </c>
      <c r="D33" s="5" t="s">
        <v>14</v>
      </c>
      <c r="E33" s="5" t="s">
        <v>31</v>
      </c>
      <c r="F33" s="5" t="s">
        <v>27</v>
      </c>
      <c r="G33" s="5" t="s">
        <v>32</v>
      </c>
      <c r="H33" s="6" t="n">
        <v>680.36</v>
      </c>
      <c r="I33" s="6" t="n">
        <v>753.48</v>
      </c>
      <c r="J33" s="6" t="n">
        <f aca="false">I33-H33</f>
        <v>73.12</v>
      </c>
      <c r="K33" s="7" t="n">
        <f aca="false">IFERROR((I33-H33)/H33,0)</f>
        <v>0.10747251455112</v>
      </c>
      <c r="L33" s="5" t="str">
        <f aca="false">IF(J33&gt;0,"Over Budget",IF(J33&lt;0,"Under Budget","On Budget"))</f>
        <v>Over Budget</v>
      </c>
    </row>
    <row r="34" customFormat="false" ht="15" hidden="false" customHeight="false" outlineLevel="0" collapsed="false">
      <c r="A34" s="2" t="n">
        <v>33</v>
      </c>
      <c r="B34" s="2" t="s">
        <v>48</v>
      </c>
      <c r="C34" s="2" t="s">
        <v>49</v>
      </c>
      <c r="D34" s="2" t="s">
        <v>14</v>
      </c>
      <c r="E34" s="2" t="s">
        <v>21</v>
      </c>
      <c r="F34" s="2" t="s">
        <v>24</v>
      </c>
      <c r="G34" s="2" t="s">
        <v>40</v>
      </c>
      <c r="H34" s="3" t="n">
        <v>1420.55</v>
      </c>
      <c r="I34" s="3" t="n">
        <v>1688.73</v>
      </c>
      <c r="J34" s="3" t="n">
        <f aca="false">I34-H34</f>
        <v>268.18</v>
      </c>
      <c r="K34" s="4" t="n">
        <f aca="false">IFERROR((I34-H34)/H34,0)</f>
        <v>0.188786033578544</v>
      </c>
      <c r="L34" s="2" t="str">
        <f aca="false">IF(J34&gt;0,"Over Budget",IF(J34&lt;0,"Under Budget","On Budget"))</f>
        <v>Over Budget</v>
      </c>
    </row>
    <row r="35" customFormat="false" ht="15" hidden="false" customHeight="false" outlineLevel="0" collapsed="false">
      <c r="A35" s="5" t="n">
        <v>34</v>
      </c>
      <c r="B35" s="5" t="s">
        <v>48</v>
      </c>
      <c r="C35" s="5" t="s">
        <v>49</v>
      </c>
      <c r="D35" s="5" t="s">
        <v>14</v>
      </c>
      <c r="E35" s="5" t="s">
        <v>15</v>
      </c>
      <c r="F35" s="5" t="s">
        <v>19</v>
      </c>
      <c r="G35" s="5" t="s">
        <v>17</v>
      </c>
      <c r="H35" s="6" t="n">
        <v>4616.04</v>
      </c>
      <c r="I35" s="6" t="n">
        <v>3570.5</v>
      </c>
      <c r="J35" s="6" t="n">
        <f aca="false">I35-H35</f>
        <v>-1045.54</v>
      </c>
      <c r="K35" s="7" t="n">
        <f aca="false">IFERROR((I35-H35)/H35,0)</f>
        <v>-0.226501503453176</v>
      </c>
      <c r="L35" s="5" t="str">
        <f aca="false">IF(J35&gt;0,"Over Budget",IF(J35&lt;0,"Under Budget","On Budget"))</f>
        <v>Under Budget</v>
      </c>
    </row>
    <row r="36" customFormat="false" ht="15" hidden="false" customHeight="false" outlineLevel="0" collapsed="false">
      <c r="A36" s="2" t="n">
        <v>35</v>
      </c>
      <c r="B36" s="2" t="s">
        <v>48</v>
      </c>
      <c r="C36" s="2" t="s">
        <v>49</v>
      </c>
      <c r="D36" s="2" t="s">
        <v>14</v>
      </c>
      <c r="E36" s="2" t="s">
        <v>26</v>
      </c>
      <c r="F36" s="2" t="s">
        <v>16</v>
      </c>
      <c r="G36" s="2" t="s">
        <v>28</v>
      </c>
      <c r="H36" s="3" t="n">
        <v>14782.97</v>
      </c>
      <c r="I36" s="3" t="n">
        <v>14098.33</v>
      </c>
      <c r="J36" s="3" t="n">
        <f aca="false">I36-H36</f>
        <v>-684.639999999999</v>
      </c>
      <c r="K36" s="4" t="n">
        <f aca="false">IFERROR((I36-H36)/H36,0)</f>
        <v>-0.0463127504148354</v>
      </c>
      <c r="L36" s="2" t="str">
        <f aca="false">IF(J36&gt;0,"Over Budget",IF(J36&lt;0,"Under Budget","On Budget"))</f>
        <v>Under Budget</v>
      </c>
    </row>
    <row r="37" customFormat="false" ht="15" hidden="false" customHeight="false" outlineLevel="0" collapsed="false">
      <c r="A37" s="5" t="n">
        <v>36</v>
      </c>
      <c r="B37" s="5" t="s">
        <v>48</v>
      </c>
      <c r="C37" s="5" t="s">
        <v>49</v>
      </c>
      <c r="D37" s="5" t="s">
        <v>14</v>
      </c>
      <c r="E37" s="5" t="s">
        <v>31</v>
      </c>
      <c r="F37" s="5" t="s">
        <v>33</v>
      </c>
      <c r="G37" s="5" t="s">
        <v>52</v>
      </c>
      <c r="H37" s="6" t="n">
        <v>491.38</v>
      </c>
      <c r="I37" s="6" t="n">
        <v>575.07</v>
      </c>
      <c r="J37" s="6" t="n">
        <f aca="false">I37-H37</f>
        <v>83.6900000000001</v>
      </c>
      <c r="K37" s="7" t="n">
        <f aca="false">IFERROR((I37-H37)/H37,0)</f>
        <v>0.170316252187716</v>
      </c>
      <c r="L37" s="5" t="str">
        <f aca="false">IF(J37&gt;0,"Over Budget",IF(J37&lt;0,"Under Budget","On Budget"))</f>
        <v>Over Budget</v>
      </c>
    </row>
    <row r="38" customFormat="false" ht="15" hidden="false" customHeight="false" outlineLevel="0" collapsed="false">
      <c r="A38" s="2" t="n">
        <v>37</v>
      </c>
      <c r="B38" s="2" t="s">
        <v>53</v>
      </c>
      <c r="C38" s="2" t="s">
        <v>54</v>
      </c>
      <c r="D38" s="2" t="s">
        <v>55</v>
      </c>
      <c r="E38" s="2" t="s">
        <v>15</v>
      </c>
      <c r="F38" s="2" t="s">
        <v>24</v>
      </c>
      <c r="G38" s="2" t="s">
        <v>17</v>
      </c>
      <c r="H38" s="3" t="n">
        <v>3309.59</v>
      </c>
      <c r="I38" s="3" t="n">
        <v>3251.64</v>
      </c>
      <c r="J38" s="3" t="n">
        <f aca="false">I38-H38</f>
        <v>-57.9500000000003</v>
      </c>
      <c r="K38" s="4" t="n">
        <f aca="false">IFERROR((I38-H38)/H38,0)</f>
        <v>-0.0175097217480112</v>
      </c>
      <c r="L38" s="2" t="str">
        <f aca="false">IF(J38&gt;0,"Over Budget",IF(J38&lt;0,"Under Budget","On Budget"))</f>
        <v>Under Budget</v>
      </c>
    </row>
    <row r="39" customFormat="false" ht="15" hidden="false" customHeight="false" outlineLevel="0" collapsed="false">
      <c r="A39" s="5" t="n">
        <v>38</v>
      </c>
      <c r="B39" s="5" t="s">
        <v>53</v>
      </c>
      <c r="C39" s="5" t="s">
        <v>54</v>
      </c>
      <c r="D39" s="5" t="s">
        <v>55</v>
      </c>
      <c r="E39" s="5" t="s">
        <v>26</v>
      </c>
      <c r="F39" s="5" t="s">
        <v>24</v>
      </c>
      <c r="G39" s="5" t="s">
        <v>28</v>
      </c>
      <c r="H39" s="6" t="n">
        <v>13235.83</v>
      </c>
      <c r="I39" s="6" t="n">
        <v>16217.24</v>
      </c>
      <c r="J39" s="6" t="n">
        <f aca="false">I39-H39</f>
        <v>2981.41</v>
      </c>
      <c r="K39" s="7" t="n">
        <f aca="false">IFERROR((I39-H39)/H39,0)</f>
        <v>0.225252968646469</v>
      </c>
      <c r="L39" s="5" t="str">
        <f aca="false">IF(J39&gt;0,"Over Budget",IF(J39&lt;0,"Under Budget","On Budget"))</f>
        <v>Over Budget</v>
      </c>
    </row>
    <row r="40" customFormat="false" ht="15" hidden="false" customHeight="false" outlineLevel="0" collapsed="false">
      <c r="A40" s="2" t="n">
        <v>39</v>
      </c>
      <c r="B40" s="2" t="s">
        <v>53</v>
      </c>
      <c r="C40" s="2" t="s">
        <v>54</v>
      </c>
      <c r="D40" s="2" t="s">
        <v>55</v>
      </c>
      <c r="E40" s="2" t="s">
        <v>16</v>
      </c>
      <c r="F40" s="2" t="s">
        <v>24</v>
      </c>
      <c r="G40" s="2" t="s">
        <v>56</v>
      </c>
      <c r="H40" s="3" t="n">
        <v>2227.52</v>
      </c>
      <c r="I40" s="3" t="n">
        <v>2125.77</v>
      </c>
      <c r="J40" s="3" t="n">
        <f aca="false">I40-H40</f>
        <v>-101.75</v>
      </c>
      <c r="K40" s="4" t="n">
        <f aca="false">IFERROR((I40-H40)/H40,0)</f>
        <v>-0.0456786022123258</v>
      </c>
      <c r="L40" s="2" t="str">
        <f aca="false">IF(J40&gt;0,"Over Budget",IF(J40&lt;0,"Under Budget","On Budget"))</f>
        <v>Under Budget</v>
      </c>
    </row>
    <row r="41" customFormat="false" ht="15" hidden="false" customHeight="false" outlineLevel="0" collapsed="false">
      <c r="A41" s="5" t="n">
        <v>40</v>
      </c>
      <c r="B41" s="5" t="s">
        <v>53</v>
      </c>
      <c r="C41" s="5" t="s">
        <v>54</v>
      </c>
      <c r="D41" s="5" t="s">
        <v>55</v>
      </c>
      <c r="E41" s="5" t="s">
        <v>42</v>
      </c>
      <c r="F41" s="5" t="s">
        <v>19</v>
      </c>
      <c r="G41" s="5" t="s">
        <v>57</v>
      </c>
      <c r="H41" s="6" t="n">
        <v>370.09</v>
      </c>
      <c r="I41" s="6" t="n">
        <v>401.91</v>
      </c>
      <c r="J41" s="6" t="n">
        <f aca="false">I41-H41</f>
        <v>31.8200000000001</v>
      </c>
      <c r="K41" s="7" t="n">
        <f aca="false">IFERROR((I41-H41)/H41,0)</f>
        <v>0.0859790861682295</v>
      </c>
      <c r="L41" s="5" t="str">
        <f aca="false">IF(J41&gt;0,"Over Budget",IF(J41&lt;0,"Under Budget","On Budget"))</f>
        <v>Over Budget</v>
      </c>
    </row>
    <row r="42" customFormat="false" ht="15" hidden="false" customHeight="false" outlineLevel="0" collapsed="false">
      <c r="A42" s="2" t="n">
        <v>41</v>
      </c>
      <c r="B42" s="2" t="s">
        <v>53</v>
      </c>
      <c r="C42" s="2" t="s">
        <v>54</v>
      </c>
      <c r="D42" s="2" t="s">
        <v>55</v>
      </c>
      <c r="E42" s="2" t="s">
        <v>58</v>
      </c>
      <c r="F42" s="2" t="s">
        <v>24</v>
      </c>
      <c r="G42" s="2" t="s">
        <v>59</v>
      </c>
      <c r="H42" s="3" t="n">
        <v>994.7</v>
      </c>
      <c r="I42" s="3" t="n">
        <v>1068.9</v>
      </c>
      <c r="J42" s="3" t="n">
        <f aca="false">I42-H42</f>
        <v>74.2000000000001</v>
      </c>
      <c r="K42" s="4" t="n">
        <f aca="false">IFERROR((I42-H42)/H42,0)</f>
        <v>0.0745953553835328</v>
      </c>
      <c r="L42" s="2" t="str">
        <f aca="false">IF(J42&gt;0,"Over Budget",IF(J42&lt;0,"Under Budget","On Budget"))</f>
        <v>Over Budget</v>
      </c>
    </row>
    <row r="43" customFormat="false" ht="15" hidden="false" customHeight="false" outlineLevel="0" collapsed="false">
      <c r="A43" s="5" t="n">
        <v>42</v>
      </c>
      <c r="B43" s="5" t="s">
        <v>53</v>
      </c>
      <c r="C43" s="5" t="s">
        <v>54</v>
      </c>
      <c r="D43" s="5" t="s">
        <v>55</v>
      </c>
      <c r="E43" s="5" t="s">
        <v>21</v>
      </c>
      <c r="F43" s="5" t="s">
        <v>16</v>
      </c>
      <c r="G43" s="5" t="s">
        <v>41</v>
      </c>
      <c r="H43" s="6" t="n">
        <v>3804.12</v>
      </c>
      <c r="I43" s="6" t="n">
        <v>4811.67</v>
      </c>
      <c r="J43" s="6" t="n">
        <f aca="false">I43-H43</f>
        <v>1007.55</v>
      </c>
      <c r="K43" s="7" t="n">
        <f aca="false">IFERROR((I43-H43)/H43,0)</f>
        <v>0.264857575470805</v>
      </c>
      <c r="L43" s="5" t="str">
        <f aca="false">IF(J43&gt;0,"Over Budget",IF(J43&lt;0,"Under Budget","On Budget"))</f>
        <v>Over Budget</v>
      </c>
    </row>
    <row r="44" customFormat="false" ht="15" hidden="false" customHeight="false" outlineLevel="0" collapsed="false">
      <c r="A44" s="2" t="n">
        <v>43</v>
      </c>
      <c r="B44" s="2" t="s">
        <v>53</v>
      </c>
      <c r="C44" s="2" t="s">
        <v>54</v>
      </c>
      <c r="D44" s="2" t="s">
        <v>55</v>
      </c>
      <c r="E44" s="2" t="s">
        <v>18</v>
      </c>
      <c r="F44" s="2" t="s">
        <v>33</v>
      </c>
      <c r="G44" s="2" t="s">
        <v>60</v>
      </c>
      <c r="H44" s="3" t="n">
        <v>2885.25</v>
      </c>
      <c r="I44" s="3" t="n">
        <v>2371.67</v>
      </c>
      <c r="J44" s="3" t="n">
        <f aca="false">I44-H44</f>
        <v>-513.58</v>
      </c>
      <c r="K44" s="4" t="n">
        <f aca="false">IFERROR((I44-H44)/H44,0)</f>
        <v>-0.178001906247292</v>
      </c>
      <c r="L44" s="2" t="str">
        <f aca="false">IF(J44&gt;0,"Over Budget",IF(J44&lt;0,"Under Budget","On Budget"))</f>
        <v>Under Budget</v>
      </c>
    </row>
    <row r="45" customFormat="false" ht="15" hidden="false" customHeight="false" outlineLevel="0" collapsed="false">
      <c r="A45" s="5" t="n">
        <v>44</v>
      </c>
      <c r="B45" s="5" t="s">
        <v>53</v>
      </c>
      <c r="C45" s="5" t="s">
        <v>54</v>
      </c>
      <c r="D45" s="5" t="s">
        <v>55</v>
      </c>
      <c r="E45" s="5" t="s">
        <v>18</v>
      </c>
      <c r="F45" s="5" t="s">
        <v>22</v>
      </c>
      <c r="G45" s="5" t="s">
        <v>61</v>
      </c>
      <c r="H45" s="6" t="n">
        <v>1532.6</v>
      </c>
      <c r="I45" s="6" t="n">
        <v>1356.53</v>
      </c>
      <c r="J45" s="6" t="n">
        <f aca="false">I45-H45</f>
        <v>-176.07</v>
      </c>
      <c r="K45" s="7" t="n">
        <f aca="false">IFERROR((I45-H45)/H45,0)</f>
        <v>-0.114883205011092</v>
      </c>
      <c r="L45" s="5" t="str">
        <f aca="false">IF(J45&gt;0,"Over Budget",IF(J45&lt;0,"Under Budget","On Budget"))</f>
        <v>Under Budget</v>
      </c>
    </row>
    <row r="46" customFormat="false" ht="15" hidden="false" customHeight="false" outlineLevel="0" collapsed="false">
      <c r="A46" s="2" t="n">
        <v>45</v>
      </c>
      <c r="B46" s="2" t="s">
        <v>62</v>
      </c>
      <c r="C46" s="2" t="s">
        <v>63</v>
      </c>
      <c r="D46" s="2" t="s">
        <v>55</v>
      </c>
      <c r="E46" s="2" t="s">
        <v>26</v>
      </c>
      <c r="F46" s="2" t="s">
        <v>24</v>
      </c>
      <c r="G46" s="2" t="s">
        <v>64</v>
      </c>
      <c r="H46" s="3" t="n">
        <v>12281.74</v>
      </c>
      <c r="I46" s="3" t="n">
        <v>11138.98</v>
      </c>
      <c r="J46" s="3" t="n">
        <f aca="false">I46-H46</f>
        <v>-1142.76</v>
      </c>
      <c r="K46" s="4" t="n">
        <f aca="false">IFERROR((I46-H46)/H46,0)</f>
        <v>-0.0930454479576998</v>
      </c>
      <c r="L46" s="2" t="str">
        <f aca="false">IF(J46&gt;0,"Over Budget",IF(J46&lt;0,"Under Budget","On Budget"))</f>
        <v>Under Budget</v>
      </c>
    </row>
    <row r="47" customFormat="false" ht="15" hidden="false" customHeight="false" outlineLevel="0" collapsed="false">
      <c r="A47" s="5" t="n">
        <v>46</v>
      </c>
      <c r="B47" s="5" t="s">
        <v>62</v>
      </c>
      <c r="C47" s="5" t="s">
        <v>63</v>
      </c>
      <c r="D47" s="5" t="s">
        <v>55</v>
      </c>
      <c r="E47" s="5" t="s">
        <v>15</v>
      </c>
      <c r="F47" s="5" t="s">
        <v>19</v>
      </c>
      <c r="G47" s="5" t="s">
        <v>25</v>
      </c>
      <c r="H47" s="6" t="n">
        <v>4863.51</v>
      </c>
      <c r="I47" s="6" t="n">
        <v>6387.92</v>
      </c>
      <c r="J47" s="6" t="n">
        <f aca="false">I47-H47</f>
        <v>1524.41</v>
      </c>
      <c r="K47" s="7" t="n">
        <f aca="false">IFERROR((I47-H47)/H47,0)</f>
        <v>0.313438236993447</v>
      </c>
      <c r="L47" s="5" t="str">
        <f aca="false">IF(J47&gt;0,"Over Budget",IF(J47&lt;0,"Under Budget","On Budget"))</f>
        <v>Over Budget</v>
      </c>
    </row>
    <row r="48" customFormat="false" ht="15" hidden="false" customHeight="false" outlineLevel="0" collapsed="false">
      <c r="A48" s="2" t="n">
        <v>47</v>
      </c>
      <c r="B48" s="2" t="s">
        <v>62</v>
      </c>
      <c r="C48" s="2" t="s">
        <v>63</v>
      </c>
      <c r="D48" s="2" t="s">
        <v>55</v>
      </c>
      <c r="E48" s="2" t="s">
        <v>21</v>
      </c>
      <c r="F48" s="2" t="s">
        <v>22</v>
      </c>
      <c r="G48" s="2" t="s">
        <v>23</v>
      </c>
      <c r="H48" s="3" t="n">
        <v>3669.14</v>
      </c>
      <c r="I48" s="3" t="n">
        <v>2888.74</v>
      </c>
      <c r="J48" s="3" t="n">
        <f aca="false">I48-H48</f>
        <v>-780.4</v>
      </c>
      <c r="K48" s="4" t="n">
        <f aca="false">IFERROR((I48-H48)/H48,0)</f>
        <v>-0.212692892612438</v>
      </c>
      <c r="L48" s="2" t="str">
        <f aca="false">IF(J48&gt;0,"Over Budget",IF(J48&lt;0,"Under Budget","On Budget"))</f>
        <v>Under Budget</v>
      </c>
    </row>
    <row r="49" customFormat="false" ht="15" hidden="false" customHeight="false" outlineLevel="0" collapsed="false">
      <c r="A49" s="5" t="n">
        <v>48</v>
      </c>
      <c r="B49" s="5" t="s">
        <v>62</v>
      </c>
      <c r="C49" s="5" t="s">
        <v>63</v>
      </c>
      <c r="D49" s="5" t="s">
        <v>55</v>
      </c>
      <c r="E49" s="5" t="s">
        <v>42</v>
      </c>
      <c r="F49" s="5" t="s">
        <v>22</v>
      </c>
      <c r="G49" s="5" t="s">
        <v>43</v>
      </c>
      <c r="H49" s="6" t="n">
        <v>387.04</v>
      </c>
      <c r="I49" s="6" t="n">
        <v>480.03</v>
      </c>
      <c r="J49" s="6" t="n">
        <f aca="false">I49-H49</f>
        <v>92.99</v>
      </c>
      <c r="K49" s="7" t="n">
        <f aca="false">IFERROR((I49-H49)/H49,0)</f>
        <v>0.240259404712691</v>
      </c>
      <c r="L49" s="5" t="str">
        <f aca="false">IF(J49&gt;0,"Over Budget",IF(J49&lt;0,"Under Budget","On Budget"))</f>
        <v>Over Budget</v>
      </c>
    </row>
    <row r="50" customFormat="false" ht="15" hidden="false" customHeight="false" outlineLevel="0" collapsed="false">
      <c r="A50" s="2" t="n">
        <v>49</v>
      </c>
      <c r="B50" s="2" t="s">
        <v>62</v>
      </c>
      <c r="C50" s="2" t="s">
        <v>63</v>
      </c>
      <c r="D50" s="2" t="s">
        <v>55</v>
      </c>
      <c r="E50" s="2" t="s">
        <v>58</v>
      </c>
      <c r="F50" s="2" t="s">
        <v>22</v>
      </c>
      <c r="G50" s="2" t="s">
        <v>65</v>
      </c>
      <c r="H50" s="3" t="n">
        <v>601.35</v>
      </c>
      <c r="I50" s="3" t="n">
        <v>458.34</v>
      </c>
      <c r="J50" s="3" t="n">
        <f aca="false">I50-H50</f>
        <v>-143.01</v>
      </c>
      <c r="K50" s="4" t="n">
        <f aca="false">IFERROR((I50-H50)/H50,0)</f>
        <v>-0.237814916438015</v>
      </c>
      <c r="L50" s="2" t="str">
        <f aca="false">IF(J50&gt;0,"Over Budget",IF(J50&lt;0,"Under Budget","On Budget"))</f>
        <v>Under Budget</v>
      </c>
    </row>
    <row r="51" customFormat="false" ht="15" hidden="false" customHeight="false" outlineLevel="0" collapsed="false">
      <c r="A51" s="5" t="n">
        <v>50</v>
      </c>
      <c r="B51" s="5" t="s">
        <v>62</v>
      </c>
      <c r="C51" s="5" t="s">
        <v>63</v>
      </c>
      <c r="D51" s="5" t="s">
        <v>55</v>
      </c>
      <c r="E51" s="5" t="s">
        <v>58</v>
      </c>
      <c r="F51" s="5" t="s">
        <v>16</v>
      </c>
      <c r="G51" s="5" t="s">
        <v>65</v>
      </c>
      <c r="H51" s="6" t="n">
        <v>1295.22</v>
      </c>
      <c r="I51" s="6" t="n">
        <v>1489.59</v>
      </c>
      <c r="J51" s="6" t="n">
        <f aca="false">I51-H51</f>
        <v>194.37</v>
      </c>
      <c r="K51" s="7" t="n">
        <f aca="false">IFERROR((I51-H51)/H51,0)</f>
        <v>0.150067170056052</v>
      </c>
      <c r="L51" s="5" t="str">
        <f aca="false">IF(J51&gt;0,"Over Budget",IF(J51&lt;0,"Under Budget","On Budget"))</f>
        <v>Over Budget</v>
      </c>
    </row>
    <row r="52" customFormat="false" ht="15" hidden="false" customHeight="false" outlineLevel="0" collapsed="false">
      <c r="A52" s="2" t="n">
        <v>51</v>
      </c>
      <c r="B52" s="2" t="s">
        <v>62</v>
      </c>
      <c r="C52" s="2" t="s">
        <v>63</v>
      </c>
      <c r="D52" s="2" t="s">
        <v>55</v>
      </c>
      <c r="E52" s="2" t="s">
        <v>16</v>
      </c>
      <c r="F52" s="2" t="s">
        <v>33</v>
      </c>
      <c r="G52" s="2" t="s">
        <v>44</v>
      </c>
      <c r="H52" s="3" t="n">
        <v>2646.33</v>
      </c>
      <c r="I52" s="3" t="n">
        <v>2432.93</v>
      </c>
      <c r="J52" s="3" t="n">
        <f aca="false">I52-H52</f>
        <v>-213.4</v>
      </c>
      <c r="K52" s="4" t="n">
        <f aca="false">IFERROR((I52-H52)/H52,0)</f>
        <v>-0.0806399806524508</v>
      </c>
      <c r="L52" s="2" t="str">
        <f aca="false">IF(J52&gt;0,"Over Budget",IF(J52&lt;0,"Under Budget","On Budget"))</f>
        <v>Under Budget</v>
      </c>
    </row>
    <row r="53" customFormat="false" ht="15" hidden="false" customHeight="false" outlineLevel="0" collapsed="false">
      <c r="A53" s="5" t="n">
        <v>52</v>
      </c>
      <c r="B53" s="5" t="s">
        <v>62</v>
      </c>
      <c r="C53" s="5" t="s">
        <v>63</v>
      </c>
      <c r="D53" s="5" t="s">
        <v>55</v>
      </c>
      <c r="E53" s="5" t="s">
        <v>15</v>
      </c>
      <c r="F53" s="5" t="s">
        <v>24</v>
      </c>
      <c r="G53" s="5" t="s">
        <v>66</v>
      </c>
      <c r="H53" s="6" t="n">
        <v>3223.75</v>
      </c>
      <c r="I53" s="6" t="n">
        <v>2952.45</v>
      </c>
      <c r="J53" s="6" t="n">
        <f aca="false">I53-H53</f>
        <v>-271.3</v>
      </c>
      <c r="K53" s="7" t="n">
        <f aca="false">IFERROR((I53-H53)/H53,0)</f>
        <v>-0.0841566498642885</v>
      </c>
      <c r="L53" s="5" t="str">
        <f aca="false">IF(J53&gt;0,"Over Budget",IF(J53&lt;0,"Under Budget","On Budget"))</f>
        <v>Under Budget</v>
      </c>
    </row>
    <row r="54" customFormat="false" ht="15" hidden="false" customHeight="false" outlineLevel="0" collapsed="false">
      <c r="A54" s="2" t="n">
        <v>53</v>
      </c>
      <c r="B54" s="2" t="s">
        <v>67</v>
      </c>
      <c r="C54" s="2" t="s">
        <v>68</v>
      </c>
      <c r="D54" s="2" t="s">
        <v>55</v>
      </c>
      <c r="E54" s="2" t="s">
        <v>29</v>
      </c>
      <c r="F54" s="2" t="s">
        <v>22</v>
      </c>
      <c r="G54" s="2" t="s">
        <v>39</v>
      </c>
      <c r="H54" s="3" t="n">
        <v>1523.1</v>
      </c>
      <c r="I54" s="3" t="n">
        <v>1271.61</v>
      </c>
      <c r="J54" s="3" t="n">
        <f aca="false">I54-H54</f>
        <v>-251.49</v>
      </c>
      <c r="K54" s="4" t="n">
        <f aca="false">IFERROR((I54-H54)/H54,0)</f>
        <v>-0.165117195194012</v>
      </c>
      <c r="L54" s="2" t="str">
        <f aca="false">IF(J54&gt;0,"Over Budget",IF(J54&lt;0,"Under Budget","On Budget"))</f>
        <v>Under Budget</v>
      </c>
    </row>
    <row r="55" customFormat="false" ht="15" hidden="false" customHeight="false" outlineLevel="0" collapsed="false">
      <c r="A55" s="5" t="n">
        <v>54</v>
      </c>
      <c r="B55" s="5" t="s">
        <v>67</v>
      </c>
      <c r="C55" s="5" t="s">
        <v>68</v>
      </c>
      <c r="D55" s="5" t="s">
        <v>55</v>
      </c>
      <c r="E55" s="5" t="s">
        <v>58</v>
      </c>
      <c r="F55" s="5" t="s">
        <v>24</v>
      </c>
      <c r="G55" s="5" t="s">
        <v>65</v>
      </c>
      <c r="H55" s="6" t="n">
        <v>1468.6</v>
      </c>
      <c r="I55" s="6" t="n">
        <v>1427.75</v>
      </c>
      <c r="J55" s="6" t="n">
        <f aca="false">I55-H55</f>
        <v>-40.8499999999999</v>
      </c>
      <c r="K55" s="7" t="n">
        <f aca="false">IFERROR((I55-H55)/H55,0)</f>
        <v>-0.0278156067002587</v>
      </c>
      <c r="L55" s="5" t="str">
        <f aca="false">IF(J55&gt;0,"Over Budget",IF(J55&lt;0,"Under Budget","On Budget"))</f>
        <v>Under Budget</v>
      </c>
    </row>
    <row r="56" customFormat="false" ht="15" hidden="false" customHeight="false" outlineLevel="0" collapsed="false">
      <c r="A56" s="2" t="n">
        <v>55</v>
      </c>
      <c r="B56" s="2" t="s">
        <v>67</v>
      </c>
      <c r="C56" s="2" t="s">
        <v>68</v>
      </c>
      <c r="D56" s="2" t="s">
        <v>55</v>
      </c>
      <c r="E56" s="2" t="s">
        <v>31</v>
      </c>
      <c r="F56" s="2" t="s">
        <v>33</v>
      </c>
      <c r="G56" s="2" t="s">
        <v>69</v>
      </c>
      <c r="H56" s="3" t="n">
        <v>785.72</v>
      </c>
      <c r="I56" s="3" t="n">
        <v>755.5</v>
      </c>
      <c r="J56" s="3" t="n">
        <f aca="false">I56-H56</f>
        <v>-30.22</v>
      </c>
      <c r="K56" s="4" t="n">
        <f aca="false">IFERROR((I56-H56)/H56,0)</f>
        <v>-0.0384615384615385</v>
      </c>
      <c r="L56" s="2" t="str">
        <f aca="false">IF(J56&gt;0,"Over Budget",IF(J56&lt;0,"Under Budget","On Budget"))</f>
        <v>Under Budget</v>
      </c>
    </row>
    <row r="57" customFormat="false" ht="15" hidden="false" customHeight="false" outlineLevel="0" collapsed="false">
      <c r="A57" s="5" t="n">
        <v>56</v>
      </c>
      <c r="B57" s="5" t="s">
        <v>67</v>
      </c>
      <c r="C57" s="5" t="s">
        <v>68</v>
      </c>
      <c r="D57" s="5" t="s">
        <v>55</v>
      </c>
      <c r="E57" s="5" t="s">
        <v>15</v>
      </c>
      <c r="F57" s="5" t="s">
        <v>19</v>
      </c>
      <c r="G57" s="5" t="s">
        <v>45</v>
      </c>
      <c r="H57" s="6" t="n">
        <v>4473.13</v>
      </c>
      <c r="I57" s="6" t="n">
        <v>4354.13</v>
      </c>
      <c r="J57" s="6" t="n">
        <f aca="false">I57-H57</f>
        <v>-119</v>
      </c>
      <c r="K57" s="7" t="n">
        <f aca="false">IFERROR((I57-H57)/H57,0)</f>
        <v>-0.0266032956788647</v>
      </c>
      <c r="L57" s="5" t="str">
        <f aca="false">IF(J57&gt;0,"Over Budget",IF(J57&lt;0,"Under Budget","On Budget"))</f>
        <v>Under Budget</v>
      </c>
    </row>
    <row r="58" customFormat="false" ht="15" hidden="false" customHeight="false" outlineLevel="0" collapsed="false">
      <c r="A58" s="2" t="n">
        <v>57</v>
      </c>
      <c r="B58" s="2" t="s">
        <v>67</v>
      </c>
      <c r="C58" s="2" t="s">
        <v>68</v>
      </c>
      <c r="D58" s="2" t="s">
        <v>55</v>
      </c>
      <c r="E58" s="2" t="s">
        <v>15</v>
      </c>
      <c r="F58" s="2" t="s">
        <v>16</v>
      </c>
      <c r="G58" s="2" t="s">
        <v>45</v>
      </c>
      <c r="H58" s="3" t="n">
        <v>3533.61</v>
      </c>
      <c r="I58" s="3" t="n">
        <v>2741.88</v>
      </c>
      <c r="J58" s="3" t="n">
        <f aca="false">I58-H58</f>
        <v>-791.73</v>
      </c>
      <c r="K58" s="4" t="n">
        <f aca="false">IFERROR((I58-H58)/H58,0)</f>
        <v>-0.224056984217274</v>
      </c>
      <c r="L58" s="2" t="str">
        <f aca="false">IF(J58&gt;0,"Over Budget",IF(J58&lt;0,"Under Budget","On Budget"))</f>
        <v>Under Budget</v>
      </c>
    </row>
    <row r="59" customFormat="false" ht="15" hidden="false" customHeight="false" outlineLevel="0" collapsed="false">
      <c r="A59" s="5" t="n">
        <v>58</v>
      </c>
      <c r="B59" s="5" t="s">
        <v>67</v>
      </c>
      <c r="C59" s="5" t="s">
        <v>68</v>
      </c>
      <c r="D59" s="5" t="s">
        <v>55</v>
      </c>
      <c r="E59" s="5" t="s">
        <v>21</v>
      </c>
      <c r="F59" s="5" t="s">
        <v>19</v>
      </c>
      <c r="G59" s="5" t="s">
        <v>40</v>
      </c>
      <c r="H59" s="6" t="n">
        <v>1667.3</v>
      </c>
      <c r="I59" s="6" t="n">
        <v>1434.67</v>
      </c>
      <c r="J59" s="6" t="n">
        <f aca="false">I59-H59</f>
        <v>-232.63</v>
      </c>
      <c r="K59" s="7" t="n">
        <f aca="false">IFERROR((I59-H59)/H59,0)</f>
        <v>-0.139524980507407</v>
      </c>
      <c r="L59" s="5" t="str">
        <f aca="false">IF(J59&gt;0,"Over Budget",IF(J59&lt;0,"Under Budget","On Budget"))</f>
        <v>Under Budget</v>
      </c>
    </row>
    <row r="60" customFormat="false" ht="15" hidden="false" customHeight="false" outlineLevel="0" collapsed="false">
      <c r="A60" s="2" t="n">
        <v>59</v>
      </c>
      <c r="B60" s="2" t="s">
        <v>67</v>
      </c>
      <c r="C60" s="2" t="s">
        <v>68</v>
      </c>
      <c r="D60" s="2" t="s">
        <v>55</v>
      </c>
      <c r="E60" s="2" t="s">
        <v>42</v>
      </c>
      <c r="F60" s="2" t="s">
        <v>22</v>
      </c>
      <c r="G60" s="2" t="s">
        <v>43</v>
      </c>
      <c r="H60" s="3" t="n">
        <v>189.17</v>
      </c>
      <c r="I60" s="3" t="n">
        <v>159.97</v>
      </c>
      <c r="J60" s="3" t="n">
        <f aca="false">I60-H60</f>
        <v>-29.2</v>
      </c>
      <c r="K60" s="4" t="n">
        <f aca="false">IFERROR((I60-H60)/H60,0)</f>
        <v>-0.15435851350637</v>
      </c>
      <c r="L60" s="2" t="str">
        <f aca="false">IF(J60&gt;0,"Over Budget",IF(J60&lt;0,"Under Budget","On Budget"))</f>
        <v>Under Budget</v>
      </c>
    </row>
    <row r="61" customFormat="false" ht="15" hidden="false" customHeight="false" outlineLevel="0" collapsed="false">
      <c r="A61" s="5" t="n">
        <v>60</v>
      </c>
      <c r="B61" s="5" t="s">
        <v>67</v>
      </c>
      <c r="C61" s="5" t="s">
        <v>68</v>
      </c>
      <c r="D61" s="5" t="s">
        <v>55</v>
      </c>
      <c r="E61" s="5" t="s">
        <v>58</v>
      </c>
      <c r="F61" s="5" t="s">
        <v>22</v>
      </c>
      <c r="G61" s="5" t="s">
        <v>70</v>
      </c>
      <c r="H61" s="6" t="n">
        <v>1460.27</v>
      </c>
      <c r="I61" s="6" t="n">
        <v>1814.3</v>
      </c>
      <c r="J61" s="6" t="n">
        <f aca="false">I61-H61</f>
        <v>354.03</v>
      </c>
      <c r="K61" s="7" t="n">
        <f aca="false">IFERROR((I61-H61)/H61,0)</f>
        <v>0.242441466304177</v>
      </c>
      <c r="L61" s="5" t="str">
        <f aca="false">IF(J61&gt;0,"Over Budget",IF(J61&lt;0,"Under Budget","On Budget"))</f>
        <v>Over Budget</v>
      </c>
    </row>
    <row r="62" customFormat="false" ht="15" hidden="false" customHeight="false" outlineLevel="0" collapsed="false">
      <c r="A62" s="2" t="n">
        <v>61</v>
      </c>
      <c r="B62" s="2" t="s">
        <v>67</v>
      </c>
      <c r="C62" s="2" t="s">
        <v>68</v>
      </c>
      <c r="D62" s="2" t="s">
        <v>55</v>
      </c>
      <c r="E62" s="2" t="s">
        <v>58</v>
      </c>
      <c r="F62" s="2" t="s">
        <v>27</v>
      </c>
      <c r="G62" s="2" t="s">
        <v>71</v>
      </c>
      <c r="H62" s="3" t="n">
        <v>1427.08</v>
      </c>
      <c r="I62" s="3" t="n">
        <v>1913.89</v>
      </c>
      <c r="J62" s="3" t="n">
        <f aca="false">I62-H62</f>
        <v>486.81</v>
      </c>
      <c r="K62" s="4" t="n">
        <f aca="false">IFERROR((I62-H62)/H62,0)</f>
        <v>0.341123132550383</v>
      </c>
      <c r="L62" s="2" t="str">
        <f aca="false">IF(J62&gt;0,"Over Budget",IF(J62&lt;0,"Under Budget","On Budget"))</f>
        <v>Over Budget</v>
      </c>
    </row>
    <row r="63" customFormat="false" ht="15" hidden="false" customHeight="false" outlineLevel="0" collapsed="false">
      <c r="A63" s="5" t="n">
        <v>62</v>
      </c>
      <c r="B63" s="5" t="s">
        <v>72</v>
      </c>
      <c r="C63" s="5" t="s">
        <v>73</v>
      </c>
      <c r="D63" s="5" t="s">
        <v>74</v>
      </c>
      <c r="E63" s="5" t="s">
        <v>31</v>
      </c>
      <c r="F63" s="5" t="s">
        <v>24</v>
      </c>
      <c r="G63" s="5" t="s">
        <v>69</v>
      </c>
      <c r="H63" s="6" t="n">
        <v>352.83</v>
      </c>
      <c r="I63" s="6" t="n">
        <v>264.77</v>
      </c>
      <c r="J63" s="6" t="n">
        <f aca="false">I63-H63</f>
        <v>-88.06</v>
      </c>
      <c r="K63" s="7" t="n">
        <f aca="false">IFERROR((I63-H63)/H63,0)</f>
        <v>-0.249581951648103</v>
      </c>
      <c r="L63" s="5" t="str">
        <f aca="false">IF(J63&gt;0,"Over Budget",IF(J63&lt;0,"Under Budget","On Budget"))</f>
        <v>Under Budget</v>
      </c>
    </row>
    <row r="64" customFormat="false" ht="15" hidden="false" customHeight="false" outlineLevel="0" collapsed="false">
      <c r="A64" s="2" t="n">
        <v>63</v>
      </c>
      <c r="B64" s="2" t="s">
        <v>72</v>
      </c>
      <c r="C64" s="2" t="s">
        <v>73</v>
      </c>
      <c r="D64" s="2" t="s">
        <v>74</v>
      </c>
      <c r="E64" s="2" t="s">
        <v>42</v>
      </c>
      <c r="F64" s="2" t="s">
        <v>24</v>
      </c>
      <c r="G64" s="2" t="s">
        <v>43</v>
      </c>
      <c r="H64" s="3" t="n">
        <v>245.69</v>
      </c>
      <c r="I64" s="3" t="n">
        <v>306.93</v>
      </c>
      <c r="J64" s="3" t="n">
        <f aca="false">I64-H64</f>
        <v>61.24</v>
      </c>
      <c r="K64" s="4" t="n">
        <f aca="false">IFERROR((I64-H64)/H64,0)</f>
        <v>0.249257194024991</v>
      </c>
      <c r="L64" s="2" t="str">
        <f aca="false">IF(J64&gt;0,"Over Budget",IF(J64&lt;0,"Under Budget","On Budget"))</f>
        <v>Over Budget</v>
      </c>
    </row>
    <row r="65" customFormat="false" ht="15" hidden="false" customHeight="false" outlineLevel="0" collapsed="false">
      <c r="A65" s="5" t="n">
        <v>64</v>
      </c>
      <c r="B65" s="5" t="s">
        <v>72</v>
      </c>
      <c r="C65" s="5" t="s">
        <v>73</v>
      </c>
      <c r="D65" s="5" t="s">
        <v>74</v>
      </c>
      <c r="E65" s="5" t="s">
        <v>26</v>
      </c>
      <c r="F65" s="5" t="s">
        <v>22</v>
      </c>
      <c r="G65" s="5" t="s">
        <v>64</v>
      </c>
      <c r="H65" s="6" t="n">
        <v>12643.71</v>
      </c>
      <c r="I65" s="6" t="n">
        <v>16689.87</v>
      </c>
      <c r="J65" s="6" t="n">
        <f aca="false">I65-H65</f>
        <v>4046.16</v>
      </c>
      <c r="K65" s="7" t="n">
        <f aca="false">IFERROR((I65-H65)/H65,0)</f>
        <v>0.320013666874675</v>
      </c>
      <c r="L65" s="5" t="str">
        <f aca="false">IF(J65&gt;0,"Over Budget",IF(J65&lt;0,"Under Budget","On Budget"))</f>
        <v>Over Budget</v>
      </c>
    </row>
    <row r="66" customFormat="false" ht="15" hidden="false" customHeight="false" outlineLevel="0" collapsed="false">
      <c r="A66" s="2" t="n">
        <v>65</v>
      </c>
      <c r="B66" s="2" t="s">
        <v>72</v>
      </c>
      <c r="C66" s="2" t="s">
        <v>73</v>
      </c>
      <c r="D66" s="2" t="s">
        <v>74</v>
      </c>
      <c r="E66" s="2" t="s">
        <v>31</v>
      </c>
      <c r="F66" s="2" t="s">
        <v>24</v>
      </c>
      <c r="G66" s="2" t="s">
        <v>32</v>
      </c>
      <c r="H66" s="3" t="n">
        <v>600.14</v>
      </c>
      <c r="I66" s="3" t="n">
        <v>550.53</v>
      </c>
      <c r="J66" s="3" t="n">
        <f aca="false">I66-H66</f>
        <v>-49.61</v>
      </c>
      <c r="K66" s="4" t="n">
        <f aca="false">IFERROR((I66-H66)/H66,0)</f>
        <v>-0.0826640450561536</v>
      </c>
      <c r="L66" s="2" t="str">
        <f aca="false">IF(J66&gt;0,"Over Budget",IF(J66&lt;0,"Under Budget","On Budget"))</f>
        <v>Under Budget</v>
      </c>
    </row>
    <row r="67" customFormat="false" ht="15" hidden="false" customHeight="false" outlineLevel="0" collapsed="false">
      <c r="A67" s="5" t="n">
        <v>66</v>
      </c>
      <c r="B67" s="5" t="s">
        <v>72</v>
      </c>
      <c r="C67" s="5" t="s">
        <v>73</v>
      </c>
      <c r="D67" s="5" t="s">
        <v>74</v>
      </c>
      <c r="E67" s="5" t="s">
        <v>16</v>
      </c>
      <c r="F67" s="5" t="s">
        <v>24</v>
      </c>
      <c r="G67" s="5" t="s">
        <v>56</v>
      </c>
      <c r="H67" s="6" t="n">
        <v>2767.36</v>
      </c>
      <c r="I67" s="6" t="n">
        <v>2327.34</v>
      </c>
      <c r="J67" s="6" t="n">
        <f aca="false">I67-H67</f>
        <v>-440.02</v>
      </c>
      <c r="K67" s="7" t="n">
        <f aca="false">IFERROR((I67-H67)/H67,0)</f>
        <v>-0.159003526827012</v>
      </c>
      <c r="L67" s="5" t="str">
        <f aca="false">IF(J67&gt;0,"Over Budget",IF(J67&lt;0,"Under Budget","On Budget"))</f>
        <v>Under Budget</v>
      </c>
    </row>
    <row r="68" customFormat="false" ht="15" hidden="false" customHeight="false" outlineLevel="0" collapsed="false">
      <c r="A68" s="2" t="n">
        <v>67</v>
      </c>
      <c r="B68" s="2" t="s">
        <v>72</v>
      </c>
      <c r="C68" s="2" t="s">
        <v>73</v>
      </c>
      <c r="D68" s="2" t="s">
        <v>74</v>
      </c>
      <c r="E68" s="2" t="s">
        <v>58</v>
      </c>
      <c r="F68" s="2" t="s">
        <v>16</v>
      </c>
      <c r="G68" s="2" t="s">
        <v>59</v>
      </c>
      <c r="H68" s="3" t="n">
        <v>1038.62</v>
      </c>
      <c r="I68" s="3" t="n">
        <v>915.55</v>
      </c>
      <c r="J68" s="3" t="n">
        <f aca="false">I68-H68</f>
        <v>-123.07</v>
      </c>
      <c r="K68" s="4" t="n">
        <f aca="false">IFERROR((I68-H68)/H68,0)</f>
        <v>-0.118493770580193</v>
      </c>
      <c r="L68" s="2" t="str">
        <f aca="false">IF(J68&gt;0,"Over Budget",IF(J68&lt;0,"Under Budget","On Budget"))</f>
        <v>Under Budget</v>
      </c>
    </row>
    <row r="69" customFormat="false" ht="15" hidden="false" customHeight="false" outlineLevel="0" collapsed="false">
      <c r="A69" s="5" t="n">
        <v>68</v>
      </c>
      <c r="B69" s="5" t="s">
        <v>72</v>
      </c>
      <c r="C69" s="5" t="s">
        <v>73</v>
      </c>
      <c r="D69" s="5" t="s">
        <v>74</v>
      </c>
      <c r="E69" s="5" t="s">
        <v>16</v>
      </c>
      <c r="F69" s="5" t="s">
        <v>19</v>
      </c>
      <c r="G69" s="5" t="s">
        <v>44</v>
      </c>
      <c r="H69" s="6" t="n">
        <v>3147.65</v>
      </c>
      <c r="I69" s="6" t="n">
        <v>2798.88</v>
      </c>
      <c r="J69" s="6" t="n">
        <f aca="false">I69-H69</f>
        <v>-348.77</v>
      </c>
      <c r="K69" s="7" t="n">
        <f aca="false">IFERROR((I69-H69)/H69,0)</f>
        <v>-0.110803297698283</v>
      </c>
      <c r="L69" s="5" t="str">
        <f aca="false">IF(J69&gt;0,"Over Budget",IF(J69&lt;0,"Under Budget","On Budget"))</f>
        <v>Under Budget</v>
      </c>
    </row>
    <row r="70" customFormat="false" ht="15" hidden="false" customHeight="false" outlineLevel="0" collapsed="false">
      <c r="A70" s="2" t="n">
        <v>69</v>
      </c>
      <c r="B70" s="2" t="s">
        <v>72</v>
      </c>
      <c r="C70" s="2" t="s">
        <v>73</v>
      </c>
      <c r="D70" s="2" t="s">
        <v>74</v>
      </c>
      <c r="E70" s="2" t="s">
        <v>42</v>
      </c>
      <c r="F70" s="2" t="s">
        <v>16</v>
      </c>
      <c r="G70" s="2" t="s">
        <v>75</v>
      </c>
      <c r="H70" s="3" t="n">
        <v>286</v>
      </c>
      <c r="I70" s="3" t="n">
        <v>229.17</v>
      </c>
      <c r="J70" s="3" t="n">
        <f aca="false">I70-H70</f>
        <v>-56.83</v>
      </c>
      <c r="K70" s="4" t="n">
        <f aca="false">IFERROR((I70-H70)/H70,0)</f>
        <v>-0.198706293706294</v>
      </c>
      <c r="L70" s="2" t="str">
        <f aca="false">IF(J70&gt;0,"Over Budget",IF(J70&lt;0,"Under Budget","On Budget"))</f>
        <v>Under Budget</v>
      </c>
    </row>
    <row r="71" customFormat="false" ht="15" hidden="false" customHeight="false" outlineLevel="0" collapsed="false">
      <c r="A71" s="5" t="n">
        <v>70</v>
      </c>
      <c r="B71" s="5" t="s">
        <v>72</v>
      </c>
      <c r="C71" s="5" t="s">
        <v>73</v>
      </c>
      <c r="D71" s="5" t="s">
        <v>74</v>
      </c>
      <c r="E71" s="5" t="s">
        <v>15</v>
      </c>
      <c r="F71" s="5" t="s">
        <v>27</v>
      </c>
      <c r="G71" s="5" t="s">
        <v>45</v>
      </c>
      <c r="H71" s="6" t="n">
        <v>4317.7</v>
      </c>
      <c r="I71" s="6" t="n">
        <v>3926.19</v>
      </c>
      <c r="J71" s="6" t="n">
        <f aca="false">I71-H71</f>
        <v>-391.51</v>
      </c>
      <c r="K71" s="7" t="n">
        <f aca="false">IFERROR((I71-H71)/H71,0)</f>
        <v>-0.0906755911712254</v>
      </c>
      <c r="L71" s="5" t="str">
        <f aca="false">IF(J71&gt;0,"Over Budget",IF(J71&lt;0,"Under Budget","On Budget"))</f>
        <v>Under Budget</v>
      </c>
    </row>
    <row r="72" customFormat="false" ht="15" hidden="false" customHeight="false" outlineLevel="0" collapsed="false">
      <c r="A72" s="2" t="n">
        <v>71</v>
      </c>
      <c r="B72" s="2" t="s">
        <v>76</v>
      </c>
      <c r="C72" s="2" t="s">
        <v>77</v>
      </c>
      <c r="D72" s="2" t="s">
        <v>74</v>
      </c>
      <c r="E72" s="2" t="s">
        <v>16</v>
      </c>
      <c r="F72" s="2" t="s">
        <v>16</v>
      </c>
      <c r="G72" s="2" t="s">
        <v>56</v>
      </c>
      <c r="H72" s="3" t="n">
        <v>4873.38</v>
      </c>
      <c r="I72" s="3" t="n">
        <v>4122.47</v>
      </c>
      <c r="J72" s="3" t="n">
        <f aca="false">I72-H72</f>
        <v>-750.91</v>
      </c>
      <c r="K72" s="4" t="n">
        <f aca="false">IFERROR((I72-H72)/H72,0)</f>
        <v>-0.154084023819197</v>
      </c>
      <c r="L72" s="2" t="str">
        <f aca="false">IF(J72&gt;0,"Over Budget",IF(J72&lt;0,"Under Budget","On Budget"))</f>
        <v>Under Budget</v>
      </c>
    </row>
    <row r="73" customFormat="false" ht="15" hidden="false" customHeight="false" outlineLevel="0" collapsed="false">
      <c r="A73" s="5" t="n">
        <v>72</v>
      </c>
      <c r="B73" s="5" t="s">
        <v>76</v>
      </c>
      <c r="C73" s="5" t="s">
        <v>77</v>
      </c>
      <c r="D73" s="5" t="s">
        <v>74</v>
      </c>
      <c r="E73" s="5" t="s">
        <v>58</v>
      </c>
      <c r="F73" s="5" t="s">
        <v>33</v>
      </c>
      <c r="G73" s="5" t="s">
        <v>70</v>
      </c>
      <c r="H73" s="6" t="n">
        <v>1371.19</v>
      </c>
      <c r="I73" s="6" t="n">
        <v>1319.79</v>
      </c>
      <c r="J73" s="6" t="n">
        <f aca="false">I73-H73</f>
        <v>-51.4000000000001</v>
      </c>
      <c r="K73" s="7" t="n">
        <f aca="false">IFERROR((I73-H73)/H73,0)</f>
        <v>-0.037485687614408</v>
      </c>
      <c r="L73" s="5" t="str">
        <f aca="false">IF(J73&gt;0,"Over Budget",IF(J73&lt;0,"Under Budget","On Budget"))</f>
        <v>Under Budget</v>
      </c>
    </row>
    <row r="74" customFormat="false" ht="15" hidden="false" customHeight="false" outlineLevel="0" collapsed="false">
      <c r="A74" s="2" t="n">
        <v>73</v>
      </c>
      <c r="B74" s="2" t="s">
        <v>76</v>
      </c>
      <c r="C74" s="2" t="s">
        <v>77</v>
      </c>
      <c r="D74" s="2" t="s">
        <v>74</v>
      </c>
      <c r="E74" s="2" t="s">
        <v>18</v>
      </c>
      <c r="F74" s="2" t="s">
        <v>27</v>
      </c>
      <c r="G74" s="2" t="s">
        <v>20</v>
      </c>
      <c r="H74" s="3" t="n">
        <v>2115.6</v>
      </c>
      <c r="I74" s="3" t="n">
        <v>1849.69</v>
      </c>
      <c r="J74" s="3" t="n">
        <f aca="false">I74-H74</f>
        <v>-265.91</v>
      </c>
      <c r="K74" s="4" t="n">
        <f aca="false">IFERROR((I74-H74)/H74,0)</f>
        <v>-0.125690111552278</v>
      </c>
      <c r="L74" s="2" t="str">
        <f aca="false">IF(J74&gt;0,"Over Budget",IF(J74&lt;0,"Under Budget","On Budget"))</f>
        <v>Under Budget</v>
      </c>
    </row>
    <row r="75" customFormat="false" ht="15" hidden="false" customHeight="false" outlineLevel="0" collapsed="false">
      <c r="A75" s="5" t="n">
        <v>74</v>
      </c>
      <c r="B75" s="5" t="s">
        <v>76</v>
      </c>
      <c r="C75" s="5" t="s">
        <v>77</v>
      </c>
      <c r="D75" s="5" t="s">
        <v>74</v>
      </c>
      <c r="E75" s="5" t="s">
        <v>18</v>
      </c>
      <c r="F75" s="5" t="s">
        <v>19</v>
      </c>
      <c r="G75" s="5" t="s">
        <v>20</v>
      </c>
      <c r="H75" s="6" t="n">
        <v>4711.15</v>
      </c>
      <c r="I75" s="6" t="n">
        <v>5135.16</v>
      </c>
      <c r="J75" s="6" t="n">
        <f aca="false">I75-H75</f>
        <v>424.01</v>
      </c>
      <c r="K75" s="7" t="n">
        <f aca="false">IFERROR((I75-H75)/H75,0)</f>
        <v>0.0900013797055921</v>
      </c>
      <c r="L75" s="5" t="str">
        <f aca="false">IF(J75&gt;0,"Over Budget",IF(J75&lt;0,"Under Budget","On Budget"))</f>
        <v>Over Budget</v>
      </c>
    </row>
    <row r="76" customFormat="false" ht="15" hidden="false" customHeight="false" outlineLevel="0" collapsed="false">
      <c r="A76" s="2" t="n">
        <v>75</v>
      </c>
      <c r="B76" s="2" t="s">
        <v>76</v>
      </c>
      <c r="C76" s="2" t="s">
        <v>77</v>
      </c>
      <c r="D76" s="2" t="s">
        <v>74</v>
      </c>
      <c r="E76" s="2" t="s">
        <v>21</v>
      </c>
      <c r="F76" s="2" t="s">
        <v>27</v>
      </c>
      <c r="G76" s="2" t="s">
        <v>41</v>
      </c>
      <c r="H76" s="3" t="n">
        <v>3850.12</v>
      </c>
      <c r="I76" s="3" t="n">
        <v>3453.7</v>
      </c>
      <c r="J76" s="3" t="n">
        <f aca="false">I76-H76</f>
        <v>-396.42</v>
      </c>
      <c r="K76" s="4" t="n">
        <f aca="false">IFERROR((I76-H76)/H76,0)</f>
        <v>-0.102963024529106</v>
      </c>
      <c r="L76" s="2" t="str">
        <f aca="false">IF(J76&gt;0,"Over Budget",IF(J76&lt;0,"Under Budget","On Budget"))</f>
        <v>Under Budget</v>
      </c>
    </row>
    <row r="77" customFormat="false" ht="15" hidden="false" customHeight="false" outlineLevel="0" collapsed="false">
      <c r="A77" s="5" t="n">
        <v>76</v>
      </c>
      <c r="B77" s="5" t="s">
        <v>76</v>
      </c>
      <c r="C77" s="5" t="s">
        <v>77</v>
      </c>
      <c r="D77" s="5" t="s">
        <v>74</v>
      </c>
      <c r="E77" s="5" t="s">
        <v>15</v>
      </c>
      <c r="F77" s="5" t="s">
        <v>16</v>
      </c>
      <c r="G77" s="5" t="s">
        <v>17</v>
      </c>
      <c r="H77" s="6" t="n">
        <v>4661.14</v>
      </c>
      <c r="I77" s="6" t="n">
        <v>4499.54</v>
      </c>
      <c r="J77" s="6" t="n">
        <f aca="false">I77-H77</f>
        <v>-161.6</v>
      </c>
      <c r="K77" s="7" t="n">
        <f aca="false">IFERROR((I77-H77)/H77,0)</f>
        <v>-0.0346696301763089</v>
      </c>
      <c r="L77" s="5" t="str">
        <f aca="false">IF(J77&gt;0,"Over Budget",IF(J77&lt;0,"Under Budget","On Budget"))</f>
        <v>Under Budget</v>
      </c>
    </row>
    <row r="78" customFormat="false" ht="15" hidden="false" customHeight="false" outlineLevel="0" collapsed="false">
      <c r="A78" s="2" t="n">
        <v>77</v>
      </c>
      <c r="B78" s="2" t="s">
        <v>76</v>
      </c>
      <c r="C78" s="2" t="s">
        <v>77</v>
      </c>
      <c r="D78" s="2" t="s">
        <v>74</v>
      </c>
      <c r="E78" s="2" t="s">
        <v>26</v>
      </c>
      <c r="F78" s="2" t="s">
        <v>16</v>
      </c>
      <c r="G78" s="2" t="s">
        <v>34</v>
      </c>
      <c r="H78" s="3" t="n">
        <v>11150.49</v>
      </c>
      <c r="I78" s="3" t="n">
        <v>10610.44</v>
      </c>
      <c r="J78" s="3" t="n">
        <f aca="false">I78-H78</f>
        <v>-540.049999999999</v>
      </c>
      <c r="K78" s="4" t="n">
        <f aca="false">IFERROR((I78-H78)/H78,0)</f>
        <v>-0.0484328491393651</v>
      </c>
      <c r="L78" s="2" t="str">
        <f aca="false">IF(J78&gt;0,"Over Budget",IF(J78&lt;0,"Under Budget","On Budget"))</f>
        <v>Under Budget</v>
      </c>
    </row>
    <row r="79" customFormat="false" ht="15" hidden="false" customHeight="false" outlineLevel="0" collapsed="false">
      <c r="A79" s="5" t="n">
        <v>78</v>
      </c>
      <c r="B79" s="5" t="s">
        <v>76</v>
      </c>
      <c r="C79" s="5" t="s">
        <v>77</v>
      </c>
      <c r="D79" s="5" t="s">
        <v>74</v>
      </c>
      <c r="E79" s="5" t="s">
        <v>21</v>
      </c>
      <c r="F79" s="5" t="s">
        <v>22</v>
      </c>
      <c r="G79" s="5" t="s">
        <v>40</v>
      </c>
      <c r="H79" s="6" t="n">
        <v>2880.25</v>
      </c>
      <c r="I79" s="6" t="n">
        <v>3091.21</v>
      </c>
      <c r="J79" s="6" t="n">
        <f aca="false">I79-H79</f>
        <v>210.96</v>
      </c>
      <c r="K79" s="7" t="n">
        <f aca="false">IFERROR((I79-H79)/H79,0)</f>
        <v>0.0732436420449614</v>
      </c>
      <c r="L79" s="5" t="str">
        <f aca="false">IF(J79&gt;0,"Over Budget",IF(J79&lt;0,"Under Budget","On Budget"))</f>
        <v>Over Budget</v>
      </c>
    </row>
    <row r="80" customFormat="false" ht="15" hidden="false" customHeight="false" outlineLevel="0" collapsed="false">
      <c r="A80" s="2" t="n">
        <v>79</v>
      </c>
      <c r="B80" s="2" t="s">
        <v>76</v>
      </c>
      <c r="C80" s="2" t="s">
        <v>77</v>
      </c>
      <c r="D80" s="2" t="s">
        <v>74</v>
      </c>
      <c r="E80" s="2" t="s">
        <v>29</v>
      </c>
      <c r="F80" s="2" t="s">
        <v>22</v>
      </c>
      <c r="G80" s="2" t="s">
        <v>39</v>
      </c>
      <c r="H80" s="3" t="n">
        <v>907.57</v>
      </c>
      <c r="I80" s="3" t="n">
        <v>798.33</v>
      </c>
      <c r="J80" s="3" t="n">
        <f aca="false">I80-H80</f>
        <v>-109.24</v>
      </c>
      <c r="K80" s="4" t="n">
        <f aca="false">IFERROR((I80-H80)/H80,0)</f>
        <v>-0.120365371266128</v>
      </c>
      <c r="L80" s="2" t="str">
        <f aca="false">IF(J80&gt;0,"Over Budget",IF(J80&lt;0,"Under Budget","On Budget"))</f>
        <v>Under Budget</v>
      </c>
    </row>
    <row r="81" customFormat="false" ht="15" hidden="false" customHeight="false" outlineLevel="0" collapsed="false">
      <c r="A81" s="5" t="n">
        <v>80</v>
      </c>
      <c r="B81" s="5" t="s">
        <v>76</v>
      </c>
      <c r="C81" s="5" t="s">
        <v>77</v>
      </c>
      <c r="D81" s="5" t="s">
        <v>74</v>
      </c>
      <c r="E81" s="5" t="s">
        <v>58</v>
      </c>
      <c r="F81" s="5" t="s">
        <v>33</v>
      </c>
      <c r="G81" s="5" t="s">
        <v>59</v>
      </c>
      <c r="H81" s="6" t="n">
        <v>577.51</v>
      </c>
      <c r="I81" s="6" t="n">
        <v>531.04</v>
      </c>
      <c r="J81" s="6" t="n">
        <f aca="false">I81-H81</f>
        <v>-46.47</v>
      </c>
      <c r="K81" s="7" t="n">
        <f aca="false">IFERROR((I81-H81)/H81,0)</f>
        <v>-0.0804661391144743</v>
      </c>
      <c r="L81" s="5" t="str">
        <f aca="false">IF(J81&gt;0,"Over Budget",IF(J81&lt;0,"Under Budget","On Budget"))</f>
        <v>Under Budget</v>
      </c>
    </row>
    <row r="82" customFormat="false" ht="15" hidden="false" customHeight="false" outlineLevel="0" collapsed="false">
      <c r="A82" s="2" t="n">
        <v>81</v>
      </c>
      <c r="B82" s="2" t="s">
        <v>76</v>
      </c>
      <c r="C82" s="2" t="s">
        <v>77</v>
      </c>
      <c r="D82" s="2" t="s">
        <v>74</v>
      </c>
      <c r="E82" s="2" t="s">
        <v>26</v>
      </c>
      <c r="F82" s="2" t="s">
        <v>19</v>
      </c>
      <c r="G82" s="2" t="s">
        <v>34</v>
      </c>
      <c r="H82" s="3" t="n">
        <v>10853.2</v>
      </c>
      <c r="I82" s="3" t="n">
        <v>9222.9</v>
      </c>
      <c r="J82" s="3" t="n">
        <f aca="false">I82-H82</f>
        <v>-1630.3</v>
      </c>
      <c r="K82" s="4" t="n">
        <f aca="false">IFERROR((I82-H82)/H82,0)</f>
        <v>-0.150213761839826</v>
      </c>
      <c r="L82" s="2" t="str">
        <f aca="false">IF(J82&gt;0,"Over Budget",IF(J82&lt;0,"Under Budget","On Budget"))</f>
        <v>Under Budget</v>
      </c>
    </row>
    <row r="83" customFormat="false" ht="15" hidden="false" customHeight="false" outlineLevel="0" collapsed="false">
      <c r="A83" s="5" t="n">
        <v>82</v>
      </c>
      <c r="B83" s="5" t="s">
        <v>76</v>
      </c>
      <c r="C83" s="5" t="s">
        <v>77</v>
      </c>
      <c r="D83" s="5" t="s">
        <v>74</v>
      </c>
      <c r="E83" s="5" t="s">
        <v>16</v>
      </c>
      <c r="F83" s="5" t="s">
        <v>33</v>
      </c>
      <c r="G83" s="5" t="s">
        <v>78</v>
      </c>
      <c r="H83" s="6" t="n">
        <v>3557.91</v>
      </c>
      <c r="I83" s="6" t="n">
        <v>3476.27</v>
      </c>
      <c r="J83" s="6" t="n">
        <f aca="false">I83-H83</f>
        <v>-81.6399999999999</v>
      </c>
      <c r="K83" s="7" t="n">
        <f aca="false">IFERROR((I83-H83)/H83,0)</f>
        <v>-0.0229460554089339</v>
      </c>
      <c r="L83" s="5" t="str">
        <f aca="false">IF(J83&gt;0,"Over Budget",IF(J83&lt;0,"Under Budget","On Budget"))</f>
        <v>Under Budget</v>
      </c>
    </row>
    <row r="84" customFormat="false" ht="15" hidden="false" customHeight="false" outlineLevel="0" collapsed="false">
      <c r="A84" s="2" t="n">
        <v>83</v>
      </c>
      <c r="B84" s="2" t="s">
        <v>79</v>
      </c>
      <c r="C84" s="2" t="s">
        <v>80</v>
      </c>
      <c r="D84" s="2" t="s">
        <v>74</v>
      </c>
      <c r="E84" s="2" t="s">
        <v>58</v>
      </c>
      <c r="F84" s="2" t="s">
        <v>27</v>
      </c>
      <c r="G84" s="2" t="s">
        <v>59</v>
      </c>
      <c r="H84" s="3" t="n">
        <v>885.88</v>
      </c>
      <c r="I84" s="3" t="n">
        <v>1059.24</v>
      </c>
      <c r="J84" s="3" t="n">
        <f aca="false">I84-H84</f>
        <v>173.36</v>
      </c>
      <c r="K84" s="4" t="n">
        <f aca="false">IFERROR((I84-H84)/H84,0)</f>
        <v>0.195692418837766</v>
      </c>
      <c r="L84" s="2" t="str">
        <f aca="false">IF(J84&gt;0,"Over Budget",IF(J84&lt;0,"Under Budget","On Budget"))</f>
        <v>Over Budget</v>
      </c>
    </row>
    <row r="85" customFormat="false" ht="15" hidden="false" customHeight="false" outlineLevel="0" collapsed="false">
      <c r="A85" s="5" t="n">
        <v>84</v>
      </c>
      <c r="B85" s="5" t="s">
        <v>79</v>
      </c>
      <c r="C85" s="5" t="s">
        <v>80</v>
      </c>
      <c r="D85" s="5" t="s">
        <v>74</v>
      </c>
      <c r="E85" s="5" t="s">
        <v>18</v>
      </c>
      <c r="F85" s="5" t="s">
        <v>27</v>
      </c>
      <c r="G85" s="5" t="s">
        <v>60</v>
      </c>
      <c r="H85" s="6" t="n">
        <v>3841.06</v>
      </c>
      <c r="I85" s="6" t="n">
        <v>3548.38</v>
      </c>
      <c r="J85" s="6" t="n">
        <f aca="false">I85-H85</f>
        <v>-292.68</v>
      </c>
      <c r="K85" s="7" t="n">
        <f aca="false">IFERROR((I85-H85)/H85,0)</f>
        <v>-0.0761977162554086</v>
      </c>
      <c r="L85" s="5" t="str">
        <f aca="false">IF(J85&gt;0,"Over Budget",IF(J85&lt;0,"Under Budget","On Budget"))</f>
        <v>Under Budget</v>
      </c>
    </row>
    <row r="86" customFormat="false" ht="15" hidden="false" customHeight="false" outlineLevel="0" collapsed="false">
      <c r="A86" s="2" t="n">
        <v>85</v>
      </c>
      <c r="B86" s="2" t="s">
        <v>79</v>
      </c>
      <c r="C86" s="2" t="s">
        <v>80</v>
      </c>
      <c r="D86" s="2" t="s">
        <v>74</v>
      </c>
      <c r="E86" s="2" t="s">
        <v>16</v>
      </c>
      <c r="F86" s="2" t="s">
        <v>27</v>
      </c>
      <c r="G86" s="2" t="s">
        <v>56</v>
      </c>
      <c r="H86" s="3" t="n">
        <v>5922.89</v>
      </c>
      <c r="I86" s="3" t="n">
        <v>5731.36</v>
      </c>
      <c r="J86" s="3" t="n">
        <f aca="false">I86-H86</f>
        <v>-191.530000000001</v>
      </c>
      <c r="K86" s="4" t="n">
        <f aca="false">IFERROR((I86-H86)/H86,0)</f>
        <v>-0.0323372542795832</v>
      </c>
      <c r="L86" s="2" t="str">
        <f aca="false">IF(J86&gt;0,"Over Budget",IF(J86&lt;0,"Under Budget","On Budget"))</f>
        <v>Under Budget</v>
      </c>
    </row>
    <row r="87" customFormat="false" ht="15" hidden="false" customHeight="false" outlineLevel="0" collapsed="false">
      <c r="A87" s="5" t="n">
        <v>86</v>
      </c>
      <c r="B87" s="5" t="s">
        <v>79</v>
      </c>
      <c r="C87" s="5" t="s">
        <v>80</v>
      </c>
      <c r="D87" s="5" t="s">
        <v>74</v>
      </c>
      <c r="E87" s="5" t="s">
        <v>26</v>
      </c>
      <c r="F87" s="5" t="s">
        <v>24</v>
      </c>
      <c r="G87" s="5" t="s">
        <v>28</v>
      </c>
      <c r="H87" s="6" t="n">
        <v>8587.63</v>
      </c>
      <c r="I87" s="6" t="n">
        <v>8227.33</v>
      </c>
      <c r="J87" s="6" t="n">
        <f aca="false">I87-H87</f>
        <v>-360.299999999999</v>
      </c>
      <c r="K87" s="7" t="n">
        <f aca="false">IFERROR((I87-H87)/H87,0)</f>
        <v>-0.0419556967405442</v>
      </c>
      <c r="L87" s="5" t="str">
        <f aca="false">IF(J87&gt;0,"Over Budget",IF(J87&lt;0,"Under Budget","On Budget"))</f>
        <v>Under Budget</v>
      </c>
    </row>
    <row r="88" customFormat="false" ht="15" hidden="false" customHeight="false" outlineLevel="0" collapsed="false">
      <c r="A88" s="2" t="n">
        <v>87</v>
      </c>
      <c r="B88" s="2" t="s">
        <v>79</v>
      </c>
      <c r="C88" s="2" t="s">
        <v>80</v>
      </c>
      <c r="D88" s="2" t="s">
        <v>74</v>
      </c>
      <c r="E88" s="2" t="s">
        <v>16</v>
      </c>
      <c r="F88" s="2" t="s">
        <v>33</v>
      </c>
      <c r="G88" s="2" t="s">
        <v>50</v>
      </c>
      <c r="H88" s="3" t="n">
        <v>3040.63</v>
      </c>
      <c r="I88" s="3" t="n">
        <v>2612.29</v>
      </c>
      <c r="J88" s="3" t="n">
        <f aca="false">I88-H88</f>
        <v>-428.34</v>
      </c>
      <c r="K88" s="4" t="n">
        <f aca="false">IFERROR((I88-H88)/H88,0)</f>
        <v>-0.140872121895791</v>
      </c>
      <c r="L88" s="2" t="str">
        <f aca="false">IF(J88&gt;0,"Over Budget",IF(J88&lt;0,"Under Budget","On Budget"))</f>
        <v>Under Budget</v>
      </c>
    </row>
    <row r="89" customFormat="false" ht="15" hidden="false" customHeight="false" outlineLevel="0" collapsed="false">
      <c r="A89" s="5" t="n">
        <v>88</v>
      </c>
      <c r="B89" s="5" t="s">
        <v>79</v>
      </c>
      <c r="C89" s="5" t="s">
        <v>80</v>
      </c>
      <c r="D89" s="5" t="s">
        <v>74</v>
      </c>
      <c r="E89" s="5" t="s">
        <v>18</v>
      </c>
      <c r="F89" s="5" t="s">
        <v>22</v>
      </c>
      <c r="G89" s="5" t="s">
        <v>81</v>
      </c>
      <c r="H89" s="6" t="n">
        <v>2473.9</v>
      </c>
      <c r="I89" s="6" t="n">
        <v>2105.72</v>
      </c>
      <c r="J89" s="6" t="n">
        <f aca="false">I89-H89</f>
        <v>-368.18</v>
      </c>
      <c r="K89" s="7" t="n">
        <f aca="false">IFERROR((I89-H89)/H89,0)</f>
        <v>-0.148825740733255</v>
      </c>
      <c r="L89" s="5" t="str">
        <f aca="false">IF(J89&gt;0,"Over Budget",IF(J89&lt;0,"Under Budget","On Budget"))</f>
        <v>Under Budget</v>
      </c>
    </row>
    <row r="90" customFormat="false" ht="15" hidden="false" customHeight="false" outlineLevel="0" collapsed="false">
      <c r="A90" s="2" t="n">
        <v>89</v>
      </c>
      <c r="B90" s="2" t="s">
        <v>79</v>
      </c>
      <c r="C90" s="2" t="s">
        <v>80</v>
      </c>
      <c r="D90" s="2" t="s">
        <v>74</v>
      </c>
      <c r="E90" s="2" t="s">
        <v>58</v>
      </c>
      <c r="F90" s="2" t="s">
        <v>19</v>
      </c>
      <c r="G90" s="2" t="s">
        <v>65</v>
      </c>
      <c r="H90" s="3" t="n">
        <v>323.26</v>
      </c>
      <c r="I90" s="3" t="n">
        <v>320.02</v>
      </c>
      <c r="J90" s="3" t="n">
        <f aca="false">I90-H90</f>
        <v>-3.24000000000001</v>
      </c>
      <c r="K90" s="4" t="n">
        <f aca="false">IFERROR((I90-H90)/H90,0)</f>
        <v>-0.0100228917898905</v>
      </c>
      <c r="L90" s="2" t="str">
        <f aca="false">IF(J90&gt;0,"Over Budget",IF(J90&lt;0,"Under Budget","On Budget"))</f>
        <v>Under Budget</v>
      </c>
    </row>
    <row r="91" customFormat="false" ht="15" hidden="false" customHeight="false" outlineLevel="0" collapsed="false">
      <c r="A91" s="5" t="n">
        <v>90</v>
      </c>
      <c r="B91" s="5" t="s">
        <v>79</v>
      </c>
      <c r="C91" s="5" t="s">
        <v>80</v>
      </c>
      <c r="D91" s="5" t="s">
        <v>74</v>
      </c>
      <c r="E91" s="5" t="s">
        <v>42</v>
      </c>
      <c r="F91" s="5" t="s">
        <v>22</v>
      </c>
      <c r="G91" s="5" t="s">
        <v>43</v>
      </c>
      <c r="H91" s="6" t="n">
        <v>360.06</v>
      </c>
      <c r="I91" s="6" t="n">
        <v>326.37</v>
      </c>
      <c r="J91" s="6" t="n">
        <f aca="false">I91-H91</f>
        <v>-33.69</v>
      </c>
      <c r="K91" s="7" t="n">
        <f aca="false">IFERROR((I91-H91)/H91,0)</f>
        <v>-0.093567738710215</v>
      </c>
      <c r="L91" s="5" t="str">
        <f aca="false">IF(J91&gt;0,"Over Budget",IF(J91&lt;0,"Under Budget","On Budget"))</f>
        <v>Under Budget</v>
      </c>
    </row>
    <row r="92" customFormat="false" ht="15" hidden="false" customHeight="false" outlineLevel="0" collapsed="false">
      <c r="A92" s="2" t="n">
        <v>91</v>
      </c>
      <c r="B92" s="2" t="s">
        <v>82</v>
      </c>
      <c r="C92" s="2" t="s">
        <v>83</v>
      </c>
      <c r="D92" s="2" t="s">
        <v>84</v>
      </c>
      <c r="E92" s="2" t="s">
        <v>26</v>
      </c>
      <c r="F92" s="2" t="s">
        <v>33</v>
      </c>
      <c r="G92" s="2" t="s">
        <v>64</v>
      </c>
      <c r="H92" s="3" t="n">
        <v>8756.69</v>
      </c>
      <c r="I92" s="3" t="n">
        <v>10014.04</v>
      </c>
      <c r="J92" s="3" t="n">
        <f aca="false">I92-H92</f>
        <v>1257.35</v>
      </c>
      <c r="K92" s="4" t="n">
        <f aca="false">IFERROR((I92-H92)/H92,0)</f>
        <v>0.143587360064134</v>
      </c>
      <c r="L92" s="2" t="str">
        <f aca="false">IF(J92&gt;0,"Over Budget",IF(J92&lt;0,"Under Budget","On Budget"))</f>
        <v>Over Budget</v>
      </c>
    </row>
    <row r="93" customFormat="false" ht="15" hidden="false" customHeight="false" outlineLevel="0" collapsed="false">
      <c r="A93" s="5" t="n">
        <v>92</v>
      </c>
      <c r="B93" s="5" t="s">
        <v>82</v>
      </c>
      <c r="C93" s="5" t="s">
        <v>83</v>
      </c>
      <c r="D93" s="5" t="s">
        <v>84</v>
      </c>
      <c r="E93" s="5" t="s">
        <v>21</v>
      </c>
      <c r="F93" s="5" t="s">
        <v>16</v>
      </c>
      <c r="G93" s="5" t="s">
        <v>40</v>
      </c>
      <c r="H93" s="6" t="n">
        <v>2189.96</v>
      </c>
      <c r="I93" s="6" t="n">
        <v>1682.41</v>
      </c>
      <c r="J93" s="6" t="n">
        <f aca="false">I93-H93</f>
        <v>-507.55</v>
      </c>
      <c r="K93" s="7" t="n">
        <f aca="false">IFERROR((I93-H93)/H93,0)</f>
        <v>-0.231762223967561</v>
      </c>
      <c r="L93" s="5" t="str">
        <f aca="false">IF(J93&gt;0,"Over Budget",IF(J93&lt;0,"Under Budget","On Budget"))</f>
        <v>Under Budget</v>
      </c>
    </row>
    <row r="94" customFormat="false" ht="15" hidden="false" customHeight="false" outlineLevel="0" collapsed="false">
      <c r="A94" s="2" t="n">
        <v>93</v>
      </c>
      <c r="B94" s="2" t="s">
        <v>82</v>
      </c>
      <c r="C94" s="2" t="s">
        <v>83</v>
      </c>
      <c r="D94" s="2" t="s">
        <v>84</v>
      </c>
      <c r="E94" s="2" t="s">
        <v>58</v>
      </c>
      <c r="F94" s="2" t="s">
        <v>16</v>
      </c>
      <c r="G94" s="2" t="s">
        <v>59</v>
      </c>
      <c r="H94" s="3" t="n">
        <v>422.28</v>
      </c>
      <c r="I94" s="3" t="n">
        <v>402.88</v>
      </c>
      <c r="J94" s="3" t="n">
        <f aca="false">I94-H94</f>
        <v>-19.4</v>
      </c>
      <c r="K94" s="4" t="n">
        <f aca="false">IFERROR((I94-H94)/H94,0)</f>
        <v>-0.0459410817467083</v>
      </c>
      <c r="L94" s="2" t="str">
        <f aca="false">IF(J94&gt;0,"Over Budget",IF(J94&lt;0,"Under Budget","On Budget"))</f>
        <v>Under Budget</v>
      </c>
    </row>
    <row r="95" customFormat="false" ht="15" hidden="false" customHeight="false" outlineLevel="0" collapsed="false">
      <c r="A95" s="5" t="n">
        <v>94</v>
      </c>
      <c r="B95" s="5" t="s">
        <v>82</v>
      </c>
      <c r="C95" s="5" t="s">
        <v>83</v>
      </c>
      <c r="D95" s="5" t="s">
        <v>84</v>
      </c>
      <c r="E95" s="5" t="s">
        <v>31</v>
      </c>
      <c r="F95" s="5" t="s">
        <v>24</v>
      </c>
      <c r="G95" s="5" t="s">
        <v>36</v>
      </c>
      <c r="H95" s="6" t="n">
        <v>677.74</v>
      </c>
      <c r="I95" s="6" t="n">
        <v>514.99</v>
      </c>
      <c r="J95" s="6" t="n">
        <f aca="false">I95-H95</f>
        <v>-162.75</v>
      </c>
      <c r="K95" s="7" t="n">
        <f aca="false">IFERROR((I95-H95)/H95,0)</f>
        <v>-0.240136335467879</v>
      </c>
      <c r="L95" s="5" t="str">
        <f aca="false">IF(J95&gt;0,"Over Budget",IF(J95&lt;0,"Under Budget","On Budget"))</f>
        <v>Under Budget</v>
      </c>
    </row>
    <row r="96" customFormat="false" ht="15" hidden="false" customHeight="false" outlineLevel="0" collapsed="false">
      <c r="A96" s="2" t="n">
        <v>95</v>
      </c>
      <c r="B96" s="2" t="s">
        <v>82</v>
      </c>
      <c r="C96" s="2" t="s">
        <v>83</v>
      </c>
      <c r="D96" s="2" t="s">
        <v>84</v>
      </c>
      <c r="E96" s="2" t="s">
        <v>21</v>
      </c>
      <c r="F96" s="2" t="s">
        <v>24</v>
      </c>
      <c r="G96" s="2" t="s">
        <v>40</v>
      </c>
      <c r="H96" s="3" t="n">
        <v>2984.56</v>
      </c>
      <c r="I96" s="3" t="n">
        <v>3713.58</v>
      </c>
      <c r="J96" s="3" t="n">
        <f aca="false">I96-H96</f>
        <v>729.02</v>
      </c>
      <c r="K96" s="4" t="n">
        <f aca="false">IFERROR((I96-H96)/H96,0)</f>
        <v>0.24426381108103</v>
      </c>
      <c r="L96" s="2" t="str">
        <f aca="false">IF(J96&gt;0,"Over Budget",IF(J96&lt;0,"Under Budget","On Budget"))</f>
        <v>Over Budget</v>
      </c>
    </row>
    <row r="97" customFormat="false" ht="15" hidden="false" customHeight="false" outlineLevel="0" collapsed="false">
      <c r="A97" s="5" t="n">
        <v>96</v>
      </c>
      <c r="B97" s="5" t="s">
        <v>82</v>
      </c>
      <c r="C97" s="5" t="s">
        <v>83</v>
      </c>
      <c r="D97" s="5" t="s">
        <v>84</v>
      </c>
      <c r="E97" s="5" t="s">
        <v>29</v>
      </c>
      <c r="F97" s="5" t="s">
        <v>19</v>
      </c>
      <c r="G97" s="5" t="s">
        <v>85</v>
      </c>
      <c r="H97" s="6" t="n">
        <v>1733.5</v>
      </c>
      <c r="I97" s="6" t="n">
        <v>2319.83</v>
      </c>
      <c r="J97" s="6" t="n">
        <f aca="false">I97-H97</f>
        <v>586.33</v>
      </c>
      <c r="K97" s="7" t="n">
        <f aca="false">IFERROR((I97-H97)/H97,0)</f>
        <v>0.338234785116816</v>
      </c>
      <c r="L97" s="5" t="str">
        <f aca="false">IF(J97&gt;0,"Over Budget",IF(J97&lt;0,"Under Budget","On Budget"))</f>
        <v>Over Budget</v>
      </c>
    </row>
    <row r="98" customFormat="false" ht="15" hidden="false" customHeight="false" outlineLevel="0" collapsed="false">
      <c r="A98" s="2" t="n">
        <v>97</v>
      </c>
      <c r="B98" s="2" t="s">
        <v>82</v>
      </c>
      <c r="C98" s="2" t="s">
        <v>83</v>
      </c>
      <c r="D98" s="2" t="s">
        <v>84</v>
      </c>
      <c r="E98" s="2" t="s">
        <v>15</v>
      </c>
      <c r="F98" s="2" t="s">
        <v>16</v>
      </c>
      <c r="G98" s="2" t="s">
        <v>17</v>
      </c>
      <c r="H98" s="3" t="n">
        <v>4414.62</v>
      </c>
      <c r="I98" s="3" t="n">
        <v>4088.43</v>
      </c>
      <c r="J98" s="3" t="n">
        <f aca="false">I98-H98</f>
        <v>-326.19</v>
      </c>
      <c r="K98" s="4" t="n">
        <f aca="false">IFERROR((I98-H98)/H98,0)</f>
        <v>-0.0738885793114696</v>
      </c>
      <c r="L98" s="2" t="str">
        <f aca="false">IF(J98&gt;0,"Over Budget",IF(J98&lt;0,"Under Budget","On Budget"))</f>
        <v>Under Budget</v>
      </c>
    </row>
    <row r="99" customFormat="false" ht="15" hidden="false" customHeight="false" outlineLevel="0" collapsed="false">
      <c r="A99" s="5" t="n">
        <v>98</v>
      </c>
      <c r="B99" s="5" t="s">
        <v>82</v>
      </c>
      <c r="C99" s="5" t="s">
        <v>83</v>
      </c>
      <c r="D99" s="5" t="s">
        <v>84</v>
      </c>
      <c r="E99" s="5" t="s">
        <v>42</v>
      </c>
      <c r="F99" s="5" t="s">
        <v>16</v>
      </c>
      <c r="G99" s="5" t="s">
        <v>75</v>
      </c>
      <c r="H99" s="6" t="n">
        <v>346.36</v>
      </c>
      <c r="I99" s="6" t="n">
        <v>324.16</v>
      </c>
      <c r="J99" s="6" t="n">
        <f aca="false">I99-H99</f>
        <v>-22.2</v>
      </c>
      <c r="K99" s="7" t="n">
        <f aca="false">IFERROR((I99-H99)/H99,0)</f>
        <v>-0.0640951611040536</v>
      </c>
      <c r="L99" s="5" t="str">
        <f aca="false">IF(J99&gt;0,"Over Budget",IF(J99&lt;0,"Under Budget","On Budget"))</f>
        <v>Under Budget</v>
      </c>
    </row>
    <row r="100" customFormat="false" ht="15" hidden="false" customHeight="false" outlineLevel="0" collapsed="false">
      <c r="A100" s="2" t="n">
        <v>99</v>
      </c>
      <c r="B100" s="2" t="s">
        <v>82</v>
      </c>
      <c r="C100" s="2" t="s">
        <v>83</v>
      </c>
      <c r="D100" s="2" t="s">
        <v>84</v>
      </c>
      <c r="E100" s="2" t="s">
        <v>29</v>
      </c>
      <c r="F100" s="2" t="s">
        <v>27</v>
      </c>
      <c r="G100" s="2" t="s">
        <v>85</v>
      </c>
      <c r="H100" s="3" t="n">
        <v>1738.6</v>
      </c>
      <c r="I100" s="3" t="n">
        <v>1438.44</v>
      </c>
      <c r="J100" s="3" t="n">
        <f aca="false">I100-H100</f>
        <v>-300.16</v>
      </c>
      <c r="K100" s="4" t="n">
        <f aca="false">IFERROR((I100-H100)/H100,0)</f>
        <v>-0.172644656620269</v>
      </c>
      <c r="L100" s="2" t="str">
        <f aca="false">IF(J100&gt;0,"Over Budget",IF(J100&lt;0,"Under Budget","On Budget"))</f>
        <v>Under Budget</v>
      </c>
    </row>
    <row r="101" customFormat="false" ht="15" hidden="false" customHeight="false" outlineLevel="0" collapsed="false">
      <c r="A101" s="5" t="n">
        <v>100</v>
      </c>
      <c r="B101" s="5" t="s">
        <v>82</v>
      </c>
      <c r="C101" s="5" t="s">
        <v>83</v>
      </c>
      <c r="D101" s="5" t="s">
        <v>84</v>
      </c>
      <c r="E101" s="5" t="s">
        <v>21</v>
      </c>
      <c r="F101" s="5" t="s">
        <v>33</v>
      </c>
      <c r="G101" s="5" t="s">
        <v>23</v>
      </c>
      <c r="H101" s="6" t="n">
        <v>1836.78</v>
      </c>
      <c r="I101" s="6" t="n">
        <v>1708.42</v>
      </c>
      <c r="J101" s="6" t="n">
        <f aca="false">I101-H101</f>
        <v>-128.36</v>
      </c>
      <c r="K101" s="7" t="n">
        <f aca="false">IFERROR((I101-H101)/H101,0)</f>
        <v>-0.0698831651041496</v>
      </c>
      <c r="L101" s="5" t="str">
        <f aca="false">IF(J101&gt;0,"Over Budget",IF(J101&lt;0,"Under Budget","On Budget"))</f>
        <v>Under Budget</v>
      </c>
    </row>
    <row r="102" customFormat="false" ht="15" hidden="false" customHeight="false" outlineLevel="0" collapsed="false">
      <c r="A102" s="2" t="n">
        <v>101</v>
      </c>
      <c r="B102" s="2" t="s">
        <v>82</v>
      </c>
      <c r="C102" s="2" t="s">
        <v>83</v>
      </c>
      <c r="D102" s="2" t="s">
        <v>84</v>
      </c>
      <c r="E102" s="2" t="s">
        <v>16</v>
      </c>
      <c r="F102" s="2" t="s">
        <v>24</v>
      </c>
      <c r="G102" s="2" t="s">
        <v>78</v>
      </c>
      <c r="H102" s="3" t="n">
        <v>3345.59</v>
      </c>
      <c r="I102" s="3" t="n">
        <v>2770.16</v>
      </c>
      <c r="J102" s="3" t="n">
        <f aca="false">I102-H102</f>
        <v>-575.43</v>
      </c>
      <c r="K102" s="4" t="n">
        <f aca="false">IFERROR((I102-H102)/H102,0)</f>
        <v>-0.171996568617195</v>
      </c>
      <c r="L102" s="2" t="str">
        <f aca="false">IF(J102&gt;0,"Over Budget",IF(J102&lt;0,"Under Budget","On Budget"))</f>
        <v>Under Budget</v>
      </c>
    </row>
    <row r="103" customFormat="false" ht="15" hidden="false" customHeight="false" outlineLevel="0" collapsed="false">
      <c r="A103" s="5" t="n">
        <v>102</v>
      </c>
      <c r="B103" s="5" t="s">
        <v>82</v>
      </c>
      <c r="C103" s="5" t="s">
        <v>83</v>
      </c>
      <c r="D103" s="5" t="s">
        <v>84</v>
      </c>
      <c r="E103" s="5" t="s">
        <v>31</v>
      </c>
      <c r="F103" s="5" t="s">
        <v>27</v>
      </c>
      <c r="G103" s="5" t="s">
        <v>69</v>
      </c>
      <c r="H103" s="6" t="n">
        <v>412.89</v>
      </c>
      <c r="I103" s="6" t="n">
        <v>468.17</v>
      </c>
      <c r="J103" s="6" t="n">
        <f aca="false">I103-H103</f>
        <v>55.28</v>
      </c>
      <c r="K103" s="7" t="n">
        <f aca="false">IFERROR((I103-H103)/H103,0)</f>
        <v>0.133885538521156</v>
      </c>
      <c r="L103" s="5" t="str">
        <f aca="false">IF(J103&gt;0,"Over Budget",IF(J103&lt;0,"Under Budget","On Budget"))</f>
        <v>Over Budget</v>
      </c>
    </row>
    <row r="104" customFormat="false" ht="15" hidden="false" customHeight="false" outlineLevel="0" collapsed="false">
      <c r="A104" s="2" t="n">
        <v>103</v>
      </c>
      <c r="B104" s="2" t="s">
        <v>82</v>
      </c>
      <c r="C104" s="2" t="s">
        <v>83</v>
      </c>
      <c r="D104" s="2" t="s">
        <v>84</v>
      </c>
      <c r="E104" s="2" t="s">
        <v>42</v>
      </c>
      <c r="F104" s="2" t="s">
        <v>24</v>
      </c>
      <c r="G104" s="2" t="s">
        <v>75</v>
      </c>
      <c r="H104" s="3" t="n">
        <v>322.32</v>
      </c>
      <c r="I104" s="3" t="n">
        <v>256.52</v>
      </c>
      <c r="J104" s="3" t="n">
        <f aca="false">I104-H104</f>
        <v>-65.8</v>
      </c>
      <c r="K104" s="4" t="n">
        <f aca="false">IFERROR((I104-H104)/H104,0)</f>
        <v>-0.204144949118888</v>
      </c>
      <c r="L104" s="2" t="str">
        <f aca="false">IF(J104&gt;0,"Over Budget",IF(J104&lt;0,"Under Budget","On Budget"))</f>
        <v>Under Budget</v>
      </c>
    </row>
    <row r="105" customFormat="false" ht="15" hidden="false" customHeight="false" outlineLevel="0" collapsed="false">
      <c r="A105" s="5" t="n">
        <v>104</v>
      </c>
      <c r="B105" s="5" t="s">
        <v>82</v>
      </c>
      <c r="C105" s="5" t="s">
        <v>83</v>
      </c>
      <c r="D105" s="5" t="s">
        <v>84</v>
      </c>
      <c r="E105" s="5" t="s">
        <v>18</v>
      </c>
      <c r="F105" s="5" t="s">
        <v>33</v>
      </c>
      <c r="G105" s="5" t="s">
        <v>81</v>
      </c>
      <c r="H105" s="6" t="n">
        <v>3210.02</v>
      </c>
      <c r="I105" s="6" t="n">
        <v>2939.56</v>
      </c>
      <c r="J105" s="6" t="n">
        <f aca="false">I105-H105</f>
        <v>-270.46</v>
      </c>
      <c r="K105" s="7" t="n">
        <f aca="false">IFERROR((I105-H105)/H105,0)</f>
        <v>-0.0842549267605809</v>
      </c>
      <c r="L105" s="5" t="str">
        <f aca="false">IF(J105&gt;0,"Over Budget",IF(J105&lt;0,"Under Budget","On Budget"))</f>
        <v>Under Budget</v>
      </c>
    </row>
    <row r="106" customFormat="false" ht="15" hidden="false" customHeight="false" outlineLevel="0" collapsed="false">
      <c r="A106" s="2" t="n">
        <v>105</v>
      </c>
      <c r="B106" s="2" t="s">
        <v>86</v>
      </c>
      <c r="C106" s="2" t="s">
        <v>87</v>
      </c>
      <c r="D106" s="2" t="s">
        <v>84</v>
      </c>
      <c r="E106" s="2" t="s">
        <v>18</v>
      </c>
      <c r="F106" s="2" t="s">
        <v>27</v>
      </c>
      <c r="G106" s="2" t="s">
        <v>60</v>
      </c>
      <c r="H106" s="3" t="n">
        <v>2573.18</v>
      </c>
      <c r="I106" s="3" t="n">
        <v>3258.64</v>
      </c>
      <c r="J106" s="3" t="n">
        <f aca="false">I106-H106</f>
        <v>685.46</v>
      </c>
      <c r="K106" s="4" t="n">
        <f aca="false">IFERROR((I106-H106)/H106,0)</f>
        <v>0.266386339082381</v>
      </c>
      <c r="L106" s="2" t="str">
        <f aca="false">IF(J106&gt;0,"Over Budget",IF(J106&lt;0,"Under Budget","On Budget"))</f>
        <v>Over Budget</v>
      </c>
    </row>
    <row r="107" customFormat="false" ht="15" hidden="false" customHeight="false" outlineLevel="0" collapsed="false">
      <c r="A107" s="5" t="n">
        <v>106</v>
      </c>
      <c r="B107" s="5" t="s">
        <v>86</v>
      </c>
      <c r="C107" s="5" t="s">
        <v>87</v>
      </c>
      <c r="D107" s="5" t="s">
        <v>84</v>
      </c>
      <c r="E107" s="5" t="s">
        <v>29</v>
      </c>
      <c r="F107" s="5" t="s">
        <v>22</v>
      </c>
      <c r="G107" s="5" t="s">
        <v>30</v>
      </c>
      <c r="H107" s="6" t="n">
        <v>1614.32</v>
      </c>
      <c r="I107" s="6" t="n">
        <v>1478.13</v>
      </c>
      <c r="J107" s="6" t="n">
        <f aca="false">I107-H107</f>
        <v>-136.19</v>
      </c>
      <c r="K107" s="7" t="n">
        <f aca="false">IFERROR((I107-H107)/H107,0)</f>
        <v>-0.0843636949303731</v>
      </c>
      <c r="L107" s="5" t="str">
        <f aca="false">IF(J107&gt;0,"Over Budget",IF(J107&lt;0,"Under Budget","On Budget"))</f>
        <v>Under Budget</v>
      </c>
    </row>
    <row r="108" customFormat="false" ht="15" hidden="false" customHeight="false" outlineLevel="0" collapsed="false">
      <c r="A108" s="2" t="n">
        <v>107</v>
      </c>
      <c r="B108" s="2" t="s">
        <v>86</v>
      </c>
      <c r="C108" s="2" t="s">
        <v>87</v>
      </c>
      <c r="D108" s="2" t="s">
        <v>84</v>
      </c>
      <c r="E108" s="2" t="s">
        <v>26</v>
      </c>
      <c r="F108" s="2" t="s">
        <v>33</v>
      </c>
      <c r="G108" s="2" t="s">
        <v>47</v>
      </c>
      <c r="H108" s="3" t="n">
        <v>13170.23</v>
      </c>
      <c r="I108" s="3" t="n">
        <v>16158.24</v>
      </c>
      <c r="J108" s="3" t="n">
        <f aca="false">I108-H108</f>
        <v>2988.01</v>
      </c>
      <c r="K108" s="4" t="n">
        <f aca="false">IFERROR((I108-H108)/H108,0)</f>
        <v>0.226876068223562</v>
      </c>
      <c r="L108" s="2" t="str">
        <f aca="false">IF(J108&gt;0,"Over Budget",IF(J108&lt;0,"Under Budget","On Budget"))</f>
        <v>Over Budget</v>
      </c>
    </row>
    <row r="109" customFormat="false" ht="15" hidden="false" customHeight="false" outlineLevel="0" collapsed="false">
      <c r="A109" s="5" t="n">
        <v>108</v>
      </c>
      <c r="B109" s="5" t="s">
        <v>86</v>
      </c>
      <c r="C109" s="5" t="s">
        <v>87</v>
      </c>
      <c r="D109" s="5" t="s">
        <v>84</v>
      </c>
      <c r="E109" s="5" t="s">
        <v>21</v>
      </c>
      <c r="F109" s="5" t="s">
        <v>24</v>
      </c>
      <c r="G109" s="5" t="s">
        <v>41</v>
      </c>
      <c r="H109" s="6" t="n">
        <v>3941.53</v>
      </c>
      <c r="I109" s="6" t="n">
        <v>3236.39</v>
      </c>
      <c r="J109" s="6" t="n">
        <f aca="false">I109-H109</f>
        <v>-705.14</v>
      </c>
      <c r="K109" s="7" t="n">
        <f aca="false">IFERROR((I109-H109)/H109,0)</f>
        <v>-0.17890007179953</v>
      </c>
      <c r="L109" s="5" t="str">
        <f aca="false">IF(J109&gt;0,"Over Budget",IF(J109&lt;0,"Under Budget","On Budget"))</f>
        <v>Under Budget</v>
      </c>
    </row>
    <row r="110" customFormat="false" ht="15" hidden="false" customHeight="false" outlineLevel="0" collapsed="false">
      <c r="A110" s="2" t="n">
        <v>109</v>
      </c>
      <c r="B110" s="2" t="s">
        <v>86</v>
      </c>
      <c r="C110" s="2" t="s">
        <v>87</v>
      </c>
      <c r="D110" s="2" t="s">
        <v>84</v>
      </c>
      <c r="E110" s="2" t="s">
        <v>16</v>
      </c>
      <c r="F110" s="2" t="s">
        <v>22</v>
      </c>
      <c r="G110" s="2" t="s">
        <v>56</v>
      </c>
      <c r="H110" s="3" t="n">
        <v>3209.07</v>
      </c>
      <c r="I110" s="3" t="n">
        <v>2504.29</v>
      </c>
      <c r="J110" s="3" t="n">
        <f aca="false">I110-H110</f>
        <v>-704.78</v>
      </c>
      <c r="K110" s="4" t="n">
        <f aca="false">IFERROR((I110-H110)/H110,0)</f>
        <v>-0.219621260988386</v>
      </c>
      <c r="L110" s="2" t="str">
        <f aca="false">IF(J110&gt;0,"Over Budget",IF(J110&lt;0,"Under Budget","On Budget"))</f>
        <v>Under Budget</v>
      </c>
    </row>
    <row r="111" customFormat="false" ht="15" hidden="false" customHeight="false" outlineLevel="0" collapsed="false">
      <c r="A111" s="5" t="n">
        <v>110</v>
      </c>
      <c r="B111" s="5" t="s">
        <v>86</v>
      </c>
      <c r="C111" s="5" t="s">
        <v>87</v>
      </c>
      <c r="D111" s="5" t="s">
        <v>84</v>
      </c>
      <c r="E111" s="5" t="s">
        <v>21</v>
      </c>
      <c r="F111" s="5" t="s">
        <v>19</v>
      </c>
      <c r="G111" s="5" t="s">
        <v>23</v>
      </c>
      <c r="H111" s="6" t="n">
        <v>2660.08</v>
      </c>
      <c r="I111" s="6" t="n">
        <v>2075.68</v>
      </c>
      <c r="J111" s="6" t="n">
        <f aca="false">I111-H111</f>
        <v>-584.4</v>
      </c>
      <c r="K111" s="7" t="n">
        <f aca="false">IFERROR((I111-H111)/H111,0)</f>
        <v>-0.219692640822832</v>
      </c>
      <c r="L111" s="5" t="str">
        <f aca="false">IF(J111&gt;0,"Over Budget",IF(J111&lt;0,"Under Budget","On Budget"))</f>
        <v>Under Budget</v>
      </c>
    </row>
    <row r="112" customFormat="false" ht="15" hidden="false" customHeight="false" outlineLevel="0" collapsed="false">
      <c r="A112" s="2" t="n">
        <v>111</v>
      </c>
      <c r="B112" s="2" t="s">
        <v>86</v>
      </c>
      <c r="C112" s="2" t="s">
        <v>87</v>
      </c>
      <c r="D112" s="2" t="s">
        <v>84</v>
      </c>
      <c r="E112" s="2" t="s">
        <v>31</v>
      </c>
      <c r="F112" s="2" t="s">
        <v>27</v>
      </c>
      <c r="G112" s="2" t="s">
        <v>36</v>
      </c>
      <c r="H112" s="3" t="n">
        <v>723.63</v>
      </c>
      <c r="I112" s="3" t="n">
        <v>624.24</v>
      </c>
      <c r="J112" s="3" t="n">
        <f aca="false">I112-H112</f>
        <v>-99.39</v>
      </c>
      <c r="K112" s="4" t="n">
        <f aca="false">IFERROR((I112-H112)/H112,0)</f>
        <v>-0.137349197794453</v>
      </c>
      <c r="L112" s="2" t="str">
        <f aca="false">IF(J112&gt;0,"Over Budget",IF(J112&lt;0,"Under Budget","On Budget"))</f>
        <v>Under Budget</v>
      </c>
    </row>
    <row r="113" customFormat="false" ht="15" hidden="false" customHeight="false" outlineLevel="0" collapsed="false">
      <c r="A113" s="5" t="n">
        <v>112</v>
      </c>
      <c r="B113" s="5" t="s">
        <v>86</v>
      </c>
      <c r="C113" s="5" t="s">
        <v>87</v>
      </c>
      <c r="D113" s="5" t="s">
        <v>84</v>
      </c>
      <c r="E113" s="5" t="s">
        <v>16</v>
      </c>
      <c r="F113" s="5" t="s">
        <v>27</v>
      </c>
      <c r="G113" s="5" t="s">
        <v>44</v>
      </c>
      <c r="H113" s="6" t="n">
        <v>2737.45</v>
      </c>
      <c r="I113" s="6" t="n">
        <v>3647.16</v>
      </c>
      <c r="J113" s="6" t="n">
        <f aca="false">I113-H113</f>
        <v>909.71</v>
      </c>
      <c r="K113" s="7" t="n">
        <f aca="false">IFERROR((I113-H113)/H113,0)</f>
        <v>0.332320225026941</v>
      </c>
      <c r="L113" s="5" t="str">
        <f aca="false">IF(J113&gt;0,"Over Budget",IF(J113&lt;0,"Under Budget","On Budget"))</f>
        <v>Over Budget</v>
      </c>
    </row>
    <row r="114" customFormat="false" ht="15" hidden="false" customHeight="false" outlineLevel="0" collapsed="false">
      <c r="A114" s="2" t="n">
        <v>113</v>
      </c>
      <c r="B114" s="2" t="s">
        <v>86</v>
      </c>
      <c r="C114" s="2" t="s">
        <v>87</v>
      </c>
      <c r="D114" s="2" t="s">
        <v>84</v>
      </c>
      <c r="E114" s="2" t="s">
        <v>29</v>
      </c>
      <c r="F114" s="2" t="s">
        <v>27</v>
      </c>
      <c r="G114" s="2" t="s">
        <v>30</v>
      </c>
      <c r="H114" s="3" t="n">
        <v>1733.17</v>
      </c>
      <c r="I114" s="3" t="n">
        <v>1330.69</v>
      </c>
      <c r="J114" s="3" t="n">
        <f aca="false">I114-H114</f>
        <v>-402.48</v>
      </c>
      <c r="K114" s="4" t="n">
        <f aca="false">IFERROR((I114-H114)/H114,0)</f>
        <v>-0.232221882446615</v>
      </c>
      <c r="L114" s="2" t="str">
        <f aca="false">IF(J114&gt;0,"Over Budget",IF(J114&lt;0,"Under Budget","On Budget"))</f>
        <v>Under Budget</v>
      </c>
    </row>
    <row r="115" customFormat="false" ht="15" hidden="false" customHeight="false" outlineLevel="0" collapsed="false">
      <c r="A115" s="5" t="n">
        <v>114</v>
      </c>
      <c r="B115" s="5" t="s">
        <v>86</v>
      </c>
      <c r="C115" s="5" t="s">
        <v>87</v>
      </c>
      <c r="D115" s="5" t="s">
        <v>84</v>
      </c>
      <c r="E115" s="5" t="s">
        <v>16</v>
      </c>
      <c r="F115" s="5" t="s">
        <v>16</v>
      </c>
      <c r="G115" s="5" t="s">
        <v>50</v>
      </c>
      <c r="H115" s="6" t="n">
        <v>2606.91</v>
      </c>
      <c r="I115" s="6" t="n">
        <v>2549.01</v>
      </c>
      <c r="J115" s="6" t="n">
        <f aca="false">I115-H115</f>
        <v>-57.8999999999996</v>
      </c>
      <c r="K115" s="7" t="n">
        <f aca="false">IFERROR((I115-H115)/H115,0)</f>
        <v>-0.0222102028838739</v>
      </c>
      <c r="L115" s="5" t="str">
        <f aca="false">IF(J115&gt;0,"Over Budget",IF(J115&lt;0,"Under Budget","On Budget"))</f>
        <v>Under Budget</v>
      </c>
    </row>
    <row r="116" customFormat="false" ht="15" hidden="false" customHeight="false" outlineLevel="0" collapsed="false">
      <c r="A116" s="2" t="n">
        <v>115</v>
      </c>
      <c r="B116" s="2" t="s">
        <v>86</v>
      </c>
      <c r="C116" s="2" t="s">
        <v>87</v>
      </c>
      <c r="D116" s="2" t="s">
        <v>84</v>
      </c>
      <c r="E116" s="2" t="s">
        <v>42</v>
      </c>
      <c r="F116" s="2" t="s">
        <v>19</v>
      </c>
      <c r="G116" s="2" t="s">
        <v>43</v>
      </c>
      <c r="H116" s="3" t="n">
        <v>147.38</v>
      </c>
      <c r="I116" s="3" t="n">
        <v>131.98</v>
      </c>
      <c r="J116" s="3" t="n">
        <f aca="false">I116-H116</f>
        <v>-15.4</v>
      </c>
      <c r="K116" s="4" t="n">
        <f aca="false">IFERROR((I116-H116)/H116,0)</f>
        <v>-0.104491789930791</v>
      </c>
      <c r="L116" s="2" t="str">
        <f aca="false">IF(J116&gt;0,"Over Budget",IF(J116&lt;0,"Under Budget","On Budget"))</f>
        <v>Under Budget</v>
      </c>
    </row>
    <row r="117" customFormat="false" ht="15" hidden="false" customHeight="false" outlineLevel="0" collapsed="false">
      <c r="A117" s="5" t="n">
        <v>116</v>
      </c>
      <c r="B117" s="5" t="s">
        <v>86</v>
      </c>
      <c r="C117" s="5" t="s">
        <v>87</v>
      </c>
      <c r="D117" s="5" t="s">
        <v>84</v>
      </c>
      <c r="E117" s="5" t="s">
        <v>29</v>
      </c>
      <c r="F117" s="5" t="s">
        <v>24</v>
      </c>
      <c r="G117" s="5" t="s">
        <v>39</v>
      </c>
      <c r="H117" s="6" t="n">
        <v>1663.54</v>
      </c>
      <c r="I117" s="6" t="n">
        <v>1610.38</v>
      </c>
      <c r="J117" s="6" t="n">
        <f aca="false">I117-H117</f>
        <v>-53.1599999999999</v>
      </c>
      <c r="K117" s="7" t="n">
        <f aca="false">IFERROR((I117-H117)/H117,0)</f>
        <v>-0.0319559493610012</v>
      </c>
      <c r="L117" s="5" t="str">
        <f aca="false">IF(J117&gt;0,"Over Budget",IF(J117&lt;0,"Under Budget","On Budget"))</f>
        <v>Under Budget</v>
      </c>
    </row>
    <row r="118" customFormat="false" ht="15" hidden="false" customHeight="false" outlineLevel="0" collapsed="false">
      <c r="A118" s="2" t="n">
        <v>117</v>
      </c>
      <c r="B118" s="2" t="s">
        <v>86</v>
      </c>
      <c r="C118" s="2" t="s">
        <v>87</v>
      </c>
      <c r="D118" s="2" t="s">
        <v>84</v>
      </c>
      <c r="E118" s="2" t="s">
        <v>16</v>
      </c>
      <c r="F118" s="2" t="s">
        <v>22</v>
      </c>
      <c r="G118" s="2" t="s">
        <v>78</v>
      </c>
      <c r="H118" s="3" t="n">
        <v>3221.52</v>
      </c>
      <c r="I118" s="3" t="n">
        <v>2887.49</v>
      </c>
      <c r="J118" s="3" t="n">
        <f aca="false">I118-H118</f>
        <v>-334.03</v>
      </c>
      <c r="K118" s="4" t="n">
        <f aca="false">IFERROR((I118-H118)/H118,0)</f>
        <v>-0.103687079391095</v>
      </c>
      <c r="L118" s="2" t="str">
        <f aca="false">IF(J118&gt;0,"Over Budget",IF(J118&lt;0,"Under Budget","On Budget"))</f>
        <v>Under Budget</v>
      </c>
    </row>
    <row r="119" customFormat="false" ht="15" hidden="false" customHeight="false" outlineLevel="0" collapsed="false">
      <c r="A119" s="5" t="n">
        <v>118</v>
      </c>
      <c r="B119" s="5" t="s">
        <v>88</v>
      </c>
      <c r="C119" s="5" t="s">
        <v>89</v>
      </c>
      <c r="D119" s="5" t="s">
        <v>84</v>
      </c>
      <c r="E119" s="5" t="s">
        <v>26</v>
      </c>
      <c r="F119" s="5" t="s">
        <v>22</v>
      </c>
      <c r="G119" s="5" t="s">
        <v>34</v>
      </c>
      <c r="H119" s="6" t="n">
        <v>8498.26</v>
      </c>
      <c r="I119" s="6" t="n">
        <v>9597.65</v>
      </c>
      <c r="J119" s="6" t="n">
        <f aca="false">I119-H119</f>
        <v>1099.39</v>
      </c>
      <c r="K119" s="7" t="n">
        <f aca="false">IFERROR((I119-H119)/H119,0)</f>
        <v>0.129366482079861</v>
      </c>
      <c r="L119" s="5" t="str">
        <f aca="false">IF(J119&gt;0,"Over Budget",IF(J119&lt;0,"Under Budget","On Budget"))</f>
        <v>Over Budget</v>
      </c>
    </row>
    <row r="120" customFormat="false" ht="15" hidden="false" customHeight="false" outlineLevel="0" collapsed="false">
      <c r="A120" s="2" t="n">
        <v>119</v>
      </c>
      <c r="B120" s="2" t="s">
        <v>88</v>
      </c>
      <c r="C120" s="2" t="s">
        <v>89</v>
      </c>
      <c r="D120" s="2" t="s">
        <v>84</v>
      </c>
      <c r="E120" s="2" t="s">
        <v>18</v>
      </c>
      <c r="F120" s="2" t="s">
        <v>16</v>
      </c>
      <c r="G120" s="2" t="s">
        <v>20</v>
      </c>
      <c r="H120" s="3" t="n">
        <v>2987.99</v>
      </c>
      <c r="I120" s="3" t="n">
        <v>2705.42</v>
      </c>
      <c r="J120" s="3" t="n">
        <f aca="false">I120-H120</f>
        <v>-282.57</v>
      </c>
      <c r="K120" s="4" t="n">
        <f aca="false">IFERROR((I120-H120)/H120,0)</f>
        <v>-0.0945685895869798</v>
      </c>
      <c r="L120" s="2" t="str">
        <f aca="false">IF(J120&gt;0,"Over Budget",IF(J120&lt;0,"Under Budget","On Budget"))</f>
        <v>Under Budget</v>
      </c>
    </row>
    <row r="121" customFormat="false" ht="15" hidden="false" customHeight="false" outlineLevel="0" collapsed="false">
      <c r="A121" s="5" t="n">
        <v>120</v>
      </c>
      <c r="B121" s="5" t="s">
        <v>88</v>
      </c>
      <c r="C121" s="5" t="s">
        <v>89</v>
      </c>
      <c r="D121" s="5" t="s">
        <v>84</v>
      </c>
      <c r="E121" s="5" t="s">
        <v>31</v>
      </c>
      <c r="F121" s="5" t="s">
        <v>22</v>
      </c>
      <c r="G121" s="5" t="s">
        <v>69</v>
      </c>
      <c r="H121" s="6" t="n">
        <v>242.85</v>
      </c>
      <c r="I121" s="6" t="n">
        <v>277.4</v>
      </c>
      <c r="J121" s="6" t="n">
        <f aca="false">I121-H121</f>
        <v>34.55</v>
      </c>
      <c r="K121" s="7" t="n">
        <f aca="false">IFERROR((I121-H121)/H121,0)</f>
        <v>0.142268890261478</v>
      </c>
      <c r="L121" s="5" t="str">
        <f aca="false">IF(J121&gt;0,"Over Budget",IF(J121&lt;0,"Under Budget","On Budget"))</f>
        <v>Over Budget</v>
      </c>
    </row>
    <row r="122" customFormat="false" ht="15" hidden="false" customHeight="false" outlineLevel="0" collapsed="false">
      <c r="A122" s="2" t="n">
        <v>121</v>
      </c>
      <c r="B122" s="2" t="s">
        <v>88</v>
      </c>
      <c r="C122" s="2" t="s">
        <v>89</v>
      </c>
      <c r="D122" s="2" t="s">
        <v>84</v>
      </c>
      <c r="E122" s="2" t="s">
        <v>21</v>
      </c>
      <c r="F122" s="2" t="s">
        <v>16</v>
      </c>
      <c r="G122" s="2" t="s">
        <v>41</v>
      </c>
      <c r="H122" s="3" t="n">
        <v>2317.46</v>
      </c>
      <c r="I122" s="3" t="n">
        <v>1907.23</v>
      </c>
      <c r="J122" s="3" t="n">
        <f aca="false">I122-H122</f>
        <v>-410.23</v>
      </c>
      <c r="K122" s="4" t="n">
        <f aca="false">IFERROR((I122-H122)/H122,0)</f>
        <v>-0.177017079043436</v>
      </c>
      <c r="L122" s="2" t="str">
        <f aca="false">IF(J122&gt;0,"Over Budget",IF(J122&lt;0,"Under Budget","On Budget"))</f>
        <v>Under Budget</v>
      </c>
    </row>
    <row r="123" customFormat="false" ht="15" hidden="false" customHeight="false" outlineLevel="0" collapsed="false">
      <c r="A123" s="5" t="n">
        <v>122</v>
      </c>
      <c r="B123" s="5" t="s">
        <v>88</v>
      </c>
      <c r="C123" s="5" t="s">
        <v>89</v>
      </c>
      <c r="D123" s="5" t="s">
        <v>84</v>
      </c>
      <c r="E123" s="5" t="s">
        <v>26</v>
      </c>
      <c r="F123" s="5" t="s">
        <v>27</v>
      </c>
      <c r="G123" s="5" t="s">
        <v>64</v>
      </c>
      <c r="H123" s="6" t="n">
        <v>11503.31</v>
      </c>
      <c r="I123" s="6" t="n">
        <v>8849.57</v>
      </c>
      <c r="J123" s="6" t="n">
        <f aca="false">I123-H123</f>
        <v>-2653.74</v>
      </c>
      <c r="K123" s="7" t="n">
        <f aca="false">IFERROR((I123-H123)/H123,0)</f>
        <v>-0.230693600363721</v>
      </c>
      <c r="L123" s="5" t="str">
        <f aca="false">IF(J123&gt;0,"Over Budget",IF(J123&lt;0,"Under Budget","On Budget"))</f>
        <v>Under Budget</v>
      </c>
    </row>
    <row r="124" customFormat="false" ht="15" hidden="false" customHeight="false" outlineLevel="0" collapsed="false">
      <c r="A124" s="2" t="n">
        <v>123</v>
      </c>
      <c r="B124" s="2" t="s">
        <v>88</v>
      </c>
      <c r="C124" s="2" t="s">
        <v>89</v>
      </c>
      <c r="D124" s="2" t="s">
        <v>84</v>
      </c>
      <c r="E124" s="2" t="s">
        <v>21</v>
      </c>
      <c r="F124" s="2" t="s">
        <v>19</v>
      </c>
      <c r="G124" s="2" t="s">
        <v>40</v>
      </c>
      <c r="H124" s="3" t="n">
        <v>3203.6</v>
      </c>
      <c r="I124" s="3" t="n">
        <v>2422.59</v>
      </c>
      <c r="J124" s="3" t="n">
        <f aca="false">I124-H124</f>
        <v>-781.01</v>
      </c>
      <c r="K124" s="4" t="n">
        <f aca="false">IFERROR((I124-H124)/H124,0)</f>
        <v>-0.243791359720315</v>
      </c>
      <c r="L124" s="2" t="str">
        <f aca="false">IF(J124&gt;0,"Over Budget",IF(J124&lt;0,"Under Budget","On Budget"))</f>
        <v>Under Budget</v>
      </c>
    </row>
    <row r="125" customFormat="false" ht="15" hidden="false" customHeight="false" outlineLevel="0" collapsed="false">
      <c r="A125" s="5" t="n">
        <v>124</v>
      </c>
      <c r="B125" s="5" t="s">
        <v>88</v>
      </c>
      <c r="C125" s="5" t="s">
        <v>89</v>
      </c>
      <c r="D125" s="5" t="s">
        <v>84</v>
      </c>
      <c r="E125" s="5" t="s">
        <v>29</v>
      </c>
      <c r="F125" s="5" t="s">
        <v>33</v>
      </c>
      <c r="G125" s="5" t="s">
        <v>30</v>
      </c>
      <c r="H125" s="6" t="n">
        <v>1999.36</v>
      </c>
      <c r="I125" s="6" t="n">
        <v>1628.84</v>
      </c>
      <c r="J125" s="6" t="n">
        <f aca="false">I125-H125</f>
        <v>-370.52</v>
      </c>
      <c r="K125" s="7" t="n">
        <f aca="false">IFERROR((I125-H125)/H125,0)</f>
        <v>-0.185319302176697</v>
      </c>
      <c r="L125" s="5" t="str">
        <f aca="false">IF(J125&gt;0,"Over Budget",IF(J125&lt;0,"Under Budget","On Budget"))</f>
        <v>Under Budget</v>
      </c>
    </row>
    <row r="126" customFormat="false" ht="15" hidden="false" customHeight="false" outlineLevel="0" collapsed="false">
      <c r="A126" s="2" t="n">
        <v>125</v>
      </c>
      <c r="B126" s="2" t="s">
        <v>88</v>
      </c>
      <c r="C126" s="2" t="s">
        <v>89</v>
      </c>
      <c r="D126" s="2" t="s">
        <v>84</v>
      </c>
      <c r="E126" s="2" t="s">
        <v>15</v>
      </c>
      <c r="F126" s="2" t="s">
        <v>19</v>
      </c>
      <c r="G126" s="2" t="s">
        <v>45</v>
      </c>
      <c r="H126" s="3" t="n">
        <v>3941</v>
      </c>
      <c r="I126" s="3" t="n">
        <v>3822.21</v>
      </c>
      <c r="J126" s="3" t="n">
        <f aca="false">I126-H126</f>
        <v>-118.79</v>
      </c>
      <c r="K126" s="4" t="n">
        <f aca="false">IFERROR((I126-H126)/H126,0)</f>
        <v>-0.0301420959147424</v>
      </c>
      <c r="L126" s="2" t="str">
        <f aca="false">IF(J126&gt;0,"Over Budget",IF(J126&lt;0,"Under Budget","On Budget"))</f>
        <v>Under Budget</v>
      </c>
    </row>
    <row r="127" customFormat="false" ht="15" hidden="false" customHeight="false" outlineLevel="0" collapsed="false">
      <c r="A127" s="5" t="n">
        <v>126</v>
      </c>
      <c r="B127" s="5" t="s">
        <v>88</v>
      </c>
      <c r="C127" s="5" t="s">
        <v>89</v>
      </c>
      <c r="D127" s="5" t="s">
        <v>84</v>
      </c>
      <c r="E127" s="5" t="s">
        <v>16</v>
      </c>
      <c r="F127" s="5" t="s">
        <v>33</v>
      </c>
      <c r="G127" s="5" t="s">
        <v>78</v>
      </c>
      <c r="H127" s="6" t="n">
        <v>4539.14</v>
      </c>
      <c r="I127" s="6" t="n">
        <v>3503.75</v>
      </c>
      <c r="J127" s="6" t="n">
        <f aca="false">I127-H127</f>
        <v>-1035.39</v>
      </c>
      <c r="K127" s="7" t="n">
        <f aca="false">IFERROR((I127-H127)/H127,0)</f>
        <v>-0.228102680243394</v>
      </c>
      <c r="L127" s="5" t="str">
        <f aca="false">IF(J127&gt;0,"Over Budget",IF(J127&lt;0,"Under Budget","On Budget"))</f>
        <v>Under Budget</v>
      </c>
    </row>
    <row r="128" customFormat="false" ht="15" hidden="false" customHeight="false" outlineLevel="0" collapsed="false">
      <c r="A128" s="2" t="n">
        <v>127</v>
      </c>
      <c r="B128" s="2" t="s">
        <v>88</v>
      </c>
      <c r="C128" s="2" t="s">
        <v>89</v>
      </c>
      <c r="D128" s="2" t="s">
        <v>84</v>
      </c>
      <c r="E128" s="2" t="s">
        <v>18</v>
      </c>
      <c r="F128" s="2" t="s">
        <v>22</v>
      </c>
      <c r="G128" s="2" t="s">
        <v>81</v>
      </c>
      <c r="H128" s="3" t="n">
        <v>2666.58</v>
      </c>
      <c r="I128" s="3" t="n">
        <v>2548.87</v>
      </c>
      <c r="J128" s="3" t="n">
        <f aca="false">I128-H128</f>
        <v>-117.71</v>
      </c>
      <c r="K128" s="4" t="n">
        <f aca="false">IFERROR((I128-H128)/H128,0)</f>
        <v>-0.0441426846372507</v>
      </c>
      <c r="L128" s="2" t="str">
        <f aca="false">IF(J128&gt;0,"Over Budget",IF(J128&lt;0,"Under Budget","On Budget"))</f>
        <v>Under Budget</v>
      </c>
    </row>
    <row r="129" customFormat="false" ht="15" hidden="false" customHeight="false" outlineLevel="0" collapsed="false">
      <c r="A129" s="5" t="n">
        <v>128</v>
      </c>
      <c r="B129" s="5" t="s">
        <v>88</v>
      </c>
      <c r="C129" s="5" t="s">
        <v>89</v>
      </c>
      <c r="D129" s="5" t="s">
        <v>84</v>
      </c>
      <c r="E129" s="5" t="s">
        <v>29</v>
      </c>
      <c r="F129" s="5" t="s">
        <v>22</v>
      </c>
      <c r="G129" s="5" t="s">
        <v>85</v>
      </c>
      <c r="H129" s="6" t="n">
        <v>1540.51</v>
      </c>
      <c r="I129" s="6" t="n">
        <v>1504.84</v>
      </c>
      <c r="J129" s="6" t="n">
        <f aca="false">I129-H129</f>
        <v>-35.6700000000001</v>
      </c>
      <c r="K129" s="7" t="n">
        <f aca="false">IFERROR((I129-H129)/H129,0)</f>
        <v>-0.0231546695574843</v>
      </c>
      <c r="L129" s="5" t="str">
        <f aca="false">IF(J129&gt;0,"Over Budget",IF(J129&lt;0,"Under Budget","On Budget"))</f>
        <v>Under Budget</v>
      </c>
    </row>
    <row r="130" customFormat="false" ht="15" hidden="false" customHeight="false" outlineLevel="0" collapsed="false">
      <c r="A130" s="2" t="n">
        <v>129</v>
      </c>
      <c r="B130" s="2" t="s">
        <v>88</v>
      </c>
      <c r="C130" s="2" t="s">
        <v>89</v>
      </c>
      <c r="D130" s="2" t="s">
        <v>84</v>
      </c>
      <c r="E130" s="2" t="s">
        <v>26</v>
      </c>
      <c r="F130" s="2" t="s">
        <v>24</v>
      </c>
      <c r="G130" s="2" t="s">
        <v>28</v>
      </c>
      <c r="H130" s="3" t="n">
        <v>11183.78</v>
      </c>
      <c r="I130" s="3" t="n">
        <v>9255.54</v>
      </c>
      <c r="J130" s="3" t="n">
        <f aca="false">I130-H130</f>
        <v>-1928.24</v>
      </c>
      <c r="K130" s="4" t="n">
        <f aca="false">IFERROR((I130-H130)/H130,0)</f>
        <v>-0.172413978100428</v>
      </c>
      <c r="L130" s="2" t="str">
        <f aca="false">IF(J130&gt;0,"Over Budget",IF(J130&lt;0,"Under Budget","On Budget"))</f>
        <v>Under Budget</v>
      </c>
    </row>
    <row r="131" customFormat="false" ht="15" hidden="false" customHeight="false" outlineLevel="0" collapsed="false">
      <c r="A131" s="5" t="n">
        <v>130</v>
      </c>
      <c r="B131" s="5" t="s">
        <v>88</v>
      </c>
      <c r="C131" s="5" t="s">
        <v>89</v>
      </c>
      <c r="D131" s="5" t="s">
        <v>84</v>
      </c>
      <c r="E131" s="5" t="s">
        <v>21</v>
      </c>
      <c r="F131" s="5" t="s">
        <v>27</v>
      </c>
      <c r="G131" s="5" t="s">
        <v>23</v>
      </c>
      <c r="H131" s="6" t="n">
        <v>2972.98</v>
      </c>
      <c r="I131" s="6" t="n">
        <v>2524.59</v>
      </c>
      <c r="J131" s="6" t="n">
        <f aca="false">I131-H131</f>
        <v>-448.39</v>
      </c>
      <c r="K131" s="7" t="n">
        <f aca="false">IFERROR((I131-H131)/H131,0)</f>
        <v>-0.150821734421355</v>
      </c>
      <c r="L131" s="5" t="str">
        <f aca="false">IF(J131&gt;0,"Over Budget",IF(J131&lt;0,"Under Budget","On Budget"))</f>
        <v>Under Budget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4" min="2" style="0" width="11"/>
  </cols>
  <sheetData>
    <row r="1" customFormat="false" ht="34.5" hidden="false" customHeight="true" outlineLevel="0" collapsed="false">
      <c r="A1" s="8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" hidden="false" customHeight="false" outlineLevel="0" collapsed="false">
      <c r="A2" s="9" t="s">
        <v>4</v>
      </c>
      <c r="B2" s="9" t="s">
        <v>13</v>
      </c>
      <c r="C2" s="9" t="s">
        <v>38</v>
      </c>
      <c r="D2" s="9" t="s">
        <v>49</v>
      </c>
      <c r="E2" s="9" t="s">
        <v>54</v>
      </c>
      <c r="F2" s="9" t="s">
        <v>63</v>
      </c>
      <c r="G2" s="9" t="s">
        <v>68</v>
      </c>
      <c r="H2" s="9" t="s">
        <v>73</v>
      </c>
      <c r="I2" s="9" t="s">
        <v>77</v>
      </c>
      <c r="J2" s="9" t="s">
        <v>80</v>
      </c>
      <c r="K2" s="9" t="s">
        <v>83</v>
      </c>
      <c r="L2" s="9" t="s">
        <v>87</v>
      </c>
      <c r="M2" s="9" t="s">
        <v>89</v>
      </c>
      <c r="N2" s="9" t="s">
        <v>91</v>
      </c>
    </row>
    <row r="3" customFormat="false" ht="15" hidden="false" customHeight="false" outlineLevel="0" collapsed="false">
      <c r="A3" s="10" t="s">
        <v>26</v>
      </c>
      <c r="B3" s="11" t="n">
        <f aca="false">SUMIFS('Expense Data'!I:I,'Expense Data'!E:E,A3,'Expense Data'!C:C,"Jan")</f>
        <v>35848.03</v>
      </c>
      <c r="C3" s="11" t="n">
        <f aca="false">SUMIFS('Expense Data'!I:I,'Expense Data'!E:E,A3,'Expense Data'!C:C,"Feb")</f>
        <v>25573.77</v>
      </c>
      <c r="D3" s="11" t="n">
        <f aca="false">SUMIFS('Expense Data'!I:I,'Expense Data'!E:E,A3,'Expense Data'!C:C,"Mar")</f>
        <v>14098.33</v>
      </c>
      <c r="E3" s="11" t="n">
        <f aca="false">SUMIFS('Expense Data'!I:I,'Expense Data'!E:E,A3,'Expense Data'!C:C,"Apr")</f>
        <v>16217.24</v>
      </c>
      <c r="F3" s="11" t="n">
        <f aca="false">SUMIFS('Expense Data'!I:I,'Expense Data'!E:E,A3,'Expense Data'!C:C,"May")</f>
        <v>11138.98</v>
      </c>
      <c r="G3" s="11" t="n">
        <f aca="false">SUMIFS('Expense Data'!I:I,'Expense Data'!E:E,A3,'Expense Data'!C:C,"Jun")</f>
        <v>0</v>
      </c>
      <c r="H3" s="11" t="n">
        <f aca="false">SUMIFS('Expense Data'!I:I,'Expense Data'!E:E,A3,'Expense Data'!C:C,"Jul")</f>
        <v>16689.87</v>
      </c>
      <c r="I3" s="11" t="n">
        <f aca="false">SUMIFS('Expense Data'!I:I,'Expense Data'!E:E,A3,'Expense Data'!C:C,"Aug")</f>
        <v>19833.34</v>
      </c>
      <c r="J3" s="11" t="n">
        <f aca="false">SUMIFS('Expense Data'!I:I,'Expense Data'!E:E,A3,'Expense Data'!C:C,"Sep")</f>
        <v>8227.33</v>
      </c>
      <c r="K3" s="11" t="n">
        <f aca="false">SUMIFS('Expense Data'!I:I,'Expense Data'!E:E,A3,'Expense Data'!C:C,"Oct")</f>
        <v>10014.04</v>
      </c>
      <c r="L3" s="11" t="n">
        <f aca="false">SUMIFS('Expense Data'!I:I,'Expense Data'!E:E,A3,'Expense Data'!C:C,"Nov")</f>
        <v>16158.24</v>
      </c>
      <c r="M3" s="11" t="n">
        <f aca="false">SUMIFS('Expense Data'!I:I,'Expense Data'!E:E,A3,'Expense Data'!C:C,"Dec")</f>
        <v>27702.76</v>
      </c>
      <c r="N3" s="12" t="n">
        <f aca="false">SUM(B3:M3)</f>
        <v>201501.93</v>
      </c>
    </row>
    <row r="4" customFormat="false" ht="15" hidden="false" customHeight="false" outlineLevel="0" collapsed="false">
      <c r="A4" s="13" t="s">
        <v>15</v>
      </c>
      <c r="B4" s="14" t="n">
        <f aca="false">SUMIFS('Expense Data'!I:I,'Expense Data'!E:E,A4,'Expense Data'!C:C,"Jan")</f>
        <v>7303.63</v>
      </c>
      <c r="C4" s="14" t="n">
        <f aca="false">SUMIFS('Expense Data'!I:I,'Expense Data'!E:E,A4,'Expense Data'!C:C,"Feb")</f>
        <v>3045.02</v>
      </c>
      <c r="D4" s="14" t="n">
        <f aca="false">SUMIFS('Expense Data'!I:I,'Expense Data'!E:E,A4,'Expense Data'!C:C,"Mar")</f>
        <v>6525.55</v>
      </c>
      <c r="E4" s="14" t="n">
        <f aca="false">SUMIFS('Expense Data'!I:I,'Expense Data'!E:E,A4,'Expense Data'!C:C,"Apr")</f>
        <v>3251.64</v>
      </c>
      <c r="F4" s="14" t="n">
        <f aca="false">SUMIFS('Expense Data'!I:I,'Expense Data'!E:E,A4,'Expense Data'!C:C,"May")</f>
        <v>9340.37</v>
      </c>
      <c r="G4" s="14" t="n">
        <f aca="false">SUMIFS('Expense Data'!I:I,'Expense Data'!E:E,A4,'Expense Data'!C:C,"Jun")</f>
        <v>7096.01</v>
      </c>
      <c r="H4" s="14" t="n">
        <f aca="false">SUMIFS('Expense Data'!I:I,'Expense Data'!E:E,A4,'Expense Data'!C:C,"Jul")</f>
        <v>3926.19</v>
      </c>
      <c r="I4" s="14" t="n">
        <f aca="false">SUMIFS('Expense Data'!I:I,'Expense Data'!E:E,A4,'Expense Data'!C:C,"Aug")</f>
        <v>4499.54</v>
      </c>
      <c r="J4" s="14" t="n">
        <f aca="false">SUMIFS('Expense Data'!I:I,'Expense Data'!E:E,A4,'Expense Data'!C:C,"Sep")</f>
        <v>0</v>
      </c>
      <c r="K4" s="14" t="n">
        <f aca="false">SUMIFS('Expense Data'!I:I,'Expense Data'!E:E,A4,'Expense Data'!C:C,"Oct")</f>
        <v>4088.43</v>
      </c>
      <c r="L4" s="14" t="n">
        <f aca="false">SUMIFS('Expense Data'!I:I,'Expense Data'!E:E,A4,'Expense Data'!C:C,"Nov")</f>
        <v>0</v>
      </c>
      <c r="M4" s="14" t="n">
        <f aca="false">SUMIFS('Expense Data'!I:I,'Expense Data'!E:E,A4,'Expense Data'!C:C,"Dec")</f>
        <v>3822.21</v>
      </c>
      <c r="N4" s="12" t="n">
        <f aca="false">SUM(B4:M4)</f>
        <v>52898.59</v>
      </c>
    </row>
    <row r="5" customFormat="false" ht="15" hidden="false" customHeight="false" outlineLevel="0" collapsed="false">
      <c r="A5" s="10" t="s">
        <v>21</v>
      </c>
      <c r="B5" s="11" t="n">
        <f aca="false">SUMIFS('Expense Data'!I:I,'Expense Data'!E:E,A5,'Expense Data'!C:C,"Jan")</f>
        <v>4526.27</v>
      </c>
      <c r="C5" s="11" t="n">
        <f aca="false">SUMIFS('Expense Data'!I:I,'Expense Data'!E:E,A5,'Expense Data'!C:C,"Feb")</f>
        <v>9294.91</v>
      </c>
      <c r="D5" s="11" t="n">
        <f aca="false">SUMIFS('Expense Data'!I:I,'Expense Data'!E:E,A5,'Expense Data'!C:C,"Mar")</f>
        <v>4215.16</v>
      </c>
      <c r="E5" s="11" t="n">
        <f aca="false">SUMIFS('Expense Data'!I:I,'Expense Data'!E:E,A5,'Expense Data'!C:C,"Apr")</f>
        <v>4811.67</v>
      </c>
      <c r="F5" s="11" t="n">
        <f aca="false">SUMIFS('Expense Data'!I:I,'Expense Data'!E:E,A5,'Expense Data'!C:C,"May")</f>
        <v>2888.74</v>
      </c>
      <c r="G5" s="11" t="n">
        <f aca="false">SUMIFS('Expense Data'!I:I,'Expense Data'!E:E,A5,'Expense Data'!C:C,"Jun")</f>
        <v>1434.67</v>
      </c>
      <c r="H5" s="11" t="n">
        <f aca="false">SUMIFS('Expense Data'!I:I,'Expense Data'!E:E,A5,'Expense Data'!C:C,"Jul")</f>
        <v>0</v>
      </c>
      <c r="I5" s="11" t="n">
        <f aca="false">SUMIFS('Expense Data'!I:I,'Expense Data'!E:E,A5,'Expense Data'!C:C,"Aug")</f>
        <v>6544.91</v>
      </c>
      <c r="J5" s="11" t="n">
        <f aca="false">SUMIFS('Expense Data'!I:I,'Expense Data'!E:E,A5,'Expense Data'!C:C,"Sep")</f>
        <v>0</v>
      </c>
      <c r="K5" s="11" t="n">
        <f aca="false">SUMIFS('Expense Data'!I:I,'Expense Data'!E:E,A5,'Expense Data'!C:C,"Oct")</f>
        <v>7104.41</v>
      </c>
      <c r="L5" s="11" t="n">
        <f aca="false">SUMIFS('Expense Data'!I:I,'Expense Data'!E:E,A5,'Expense Data'!C:C,"Nov")</f>
        <v>5312.07</v>
      </c>
      <c r="M5" s="11" t="n">
        <f aca="false">SUMIFS('Expense Data'!I:I,'Expense Data'!E:E,A5,'Expense Data'!C:C,"Dec")</f>
        <v>6854.41</v>
      </c>
      <c r="N5" s="12" t="n">
        <f aca="false">SUM(B5:M5)</f>
        <v>52987.22</v>
      </c>
    </row>
    <row r="6" customFormat="false" ht="15" hidden="false" customHeight="false" outlineLevel="0" collapsed="false">
      <c r="A6" s="13" t="s">
        <v>16</v>
      </c>
      <c r="B6" s="14" t="n">
        <f aca="false">SUMIFS('Expense Data'!I:I,'Expense Data'!E:E,A6,'Expense Data'!C:C,"Jan")</f>
        <v>0</v>
      </c>
      <c r="C6" s="14" t="n">
        <f aca="false">SUMIFS('Expense Data'!I:I,'Expense Data'!E:E,A6,'Expense Data'!C:C,"Feb")</f>
        <v>4582.75</v>
      </c>
      <c r="D6" s="14" t="n">
        <f aca="false">SUMIFS('Expense Data'!I:I,'Expense Data'!E:E,A6,'Expense Data'!C:C,"Mar")</f>
        <v>7942.82</v>
      </c>
      <c r="E6" s="14" t="n">
        <f aca="false">SUMIFS('Expense Data'!I:I,'Expense Data'!E:E,A6,'Expense Data'!C:C,"Apr")</f>
        <v>2125.77</v>
      </c>
      <c r="F6" s="14" t="n">
        <f aca="false">SUMIFS('Expense Data'!I:I,'Expense Data'!E:E,A6,'Expense Data'!C:C,"May")</f>
        <v>2432.93</v>
      </c>
      <c r="G6" s="14" t="n">
        <f aca="false">SUMIFS('Expense Data'!I:I,'Expense Data'!E:E,A6,'Expense Data'!C:C,"Jun")</f>
        <v>0</v>
      </c>
      <c r="H6" s="14" t="n">
        <f aca="false">SUMIFS('Expense Data'!I:I,'Expense Data'!E:E,A6,'Expense Data'!C:C,"Jul")</f>
        <v>5126.22</v>
      </c>
      <c r="I6" s="14" t="n">
        <f aca="false">SUMIFS('Expense Data'!I:I,'Expense Data'!E:E,A6,'Expense Data'!C:C,"Aug")</f>
        <v>7598.74</v>
      </c>
      <c r="J6" s="14" t="n">
        <f aca="false">SUMIFS('Expense Data'!I:I,'Expense Data'!E:E,A6,'Expense Data'!C:C,"Sep")</f>
        <v>8343.65</v>
      </c>
      <c r="K6" s="14" t="n">
        <f aca="false">SUMIFS('Expense Data'!I:I,'Expense Data'!E:E,A6,'Expense Data'!C:C,"Oct")</f>
        <v>2770.16</v>
      </c>
      <c r="L6" s="14" t="n">
        <f aca="false">SUMIFS('Expense Data'!I:I,'Expense Data'!E:E,A6,'Expense Data'!C:C,"Nov")</f>
        <v>11587.95</v>
      </c>
      <c r="M6" s="14" t="n">
        <f aca="false">SUMIFS('Expense Data'!I:I,'Expense Data'!E:E,A6,'Expense Data'!C:C,"Dec")</f>
        <v>3503.75</v>
      </c>
      <c r="N6" s="12" t="n">
        <f aca="false">SUM(B6:M6)</f>
        <v>56014.74</v>
      </c>
    </row>
    <row r="7" customFormat="false" ht="15" hidden="false" customHeight="false" outlineLevel="0" collapsed="false">
      <c r="A7" s="10" t="s">
        <v>29</v>
      </c>
      <c r="B7" s="11" t="n">
        <f aca="false">SUMIFS('Expense Data'!I:I,'Expense Data'!E:E,A7,'Expense Data'!C:C,"Jan")</f>
        <v>1499.9</v>
      </c>
      <c r="C7" s="11" t="n">
        <f aca="false">SUMIFS('Expense Data'!I:I,'Expense Data'!E:E,A7,'Expense Data'!C:C,"Feb")</f>
        <v>2403.15</v>
      </c>
      <c r="D7" s="11" t="n">
        <f aca="false">SUMIFS('Expense Data'!I:I,'Expense Data'!E:E,A7,'Expense Data'!C:C,"Mar")</f>
        <v>1638.32</v>
      </c>
      <c r="E7" s="11" t="n">
        <f aca="false">SUMIFS('Expense Data'!I:I,'Expense Data'!E:E,A7,'Expense Data'!C:C,"Apr")</f>
        <v>0</v>
      </c>
      <c r="F7" s="11" t="n">
        <f aca="false">SUMIFS('Expense Data'!I:I,'Expense Data'!E:E,A7,'Expense Data'!C:C,"May")</f>
        <v>0</v>
      </c>
      <c r="G7" s="11" t="n">
        <f aca="false">SUMIFS('Expense Data'!I:I,'Expense Data'!E:E,A7,'Expense Data'!C:C,"Jun")</f>
        <v>1271.61</v>
      </c>
      <c r="H7" s="11" t="n">
        <f aca="false">SUMIFS('Expense Data'!I:I,'Expense Data'!E:E,A7,'Expense Data'!C:C,"Jul")</f>
        <v>0</v>
      </c>
      <c r="I7" s="11" t="n">
        <f aca="false">SUMIFS('Expense Data'!I:I,'Expense Data'!E:E,A7,'Expense Data'!C:C,"Aug")</f>
        <v>798.33</v>
      </c>
      <c r="J7" s="11" t="n">
        <f aca="false">SUMIFS('Expense Data'!I:I,'Expense Data'!E:E,A7,'Expense Data'!C:C,"Sep")</f>
        <v>0</v>
      </c>
      <c r="K7" s="11" t="n">
        <f aca="false">SUMIFS('Expense Data'!I:I,'Expense Data'!E:E,A7,'Expense Data'!C:C,"Oct")</f>
        <v>3758.27</v>
      </c>
      <c r="L7" s="11" t="n">
        <f aca="false">SUMIFS('Expense Data'!I:I,'Expense Data'!E:E,A7,'Expense Data'!C:C,"Nov")</f>
        <v>4419.2</v>
      </c>
      <c r="M7" s="11" t="n">
        <f aca="false">SUMIFS('Expense Data'!I:I,'Expense Data'!E:E,A7,'Expense Data'!C:C,"Dec")</f>
        <v>3133.68</v>
      </c>
      <c r="N7" s="12" t="n">
        <f aca="false">SUM(B7:M7)</f>
        <v>18922.46</v>
      </c>
    </row>
    <row r="8" customFormat="false" ht="15" hidden="false" customHeight="false" outlineLevel="0" collapsed="false">
      <c r="A8" s="13" t="s">
        <v>31</v>
      </c>
      <c r="B8" s="14" t="n">
        <f aca="false">SUMIFS('Expense Data'!I:I,'Expense Data'!E:E,A8,'Expense Data'!C:C,"Jan")</f>
        <v>1109.42</v>
      </c>
      <c r="C8" s="14" t="n">
        <f aca="false">SUMIFS('Expense Data'!I:I,'Expense Data'!E:E,A8,'Expense Data'!C:C,"Feb")</f>
        <v>791.67</v>
      </c>
      <c r="D8" s="14" t="n">
        <f aca="false">SUMIFS('Expense Data'!I:I,'Expense Data'!E:E,A8,'Expense Data'!C:C,"Mar")</f>
        <v>1328.55</v>
      </c>
      <c r="E8" s="14" t="n">
        <f aca="false">SUMIFS('Expense Data'!I:I,'Expense Data'!E:E,A8,'Expense Data'!C:C,"Apr")</f>
        <v>0</v>
      </c>
      <c r="F8" s="14" t="n">
        <f aca="false">SUMIFS('Expense Data'!I:I,'Expense Data'!E:E,A8,'Expense Data'!C:C,"May")</f>
        <v>0</v>
      </c>
      <c r="G8" s="14" t="n">
        <f aca="false">SUMIFS('Expense Data'!I:I,'Expense Data'!E:E,A8,'Expense Data'!C:C,"Jun")</f>
        <v>755.5</v>
      </c>
      <c r="H8" s="14" t="n">
        <f aca="false">SUMIFS('Expense Data'!I:I,'Expense Data'!E:E,A8,'Expense Data'!C:C,"Jul")</f>
        <v>815.3</v>
      </c>
      <c r="I8" s="14" t="n">
        <f aca="false">SUMIFS('Expense Data'!I:I,'Expense Data'!E:E,A8,'Expense Data'!C:C,"Aug")</f>
        <v>0</v>
      </c>
      <c r="J8" s="14" t="n">
        <f aca="false">SUMIFS('Expense Data'!I:I,'Expense Data'!E:E,A8,'Expense Data'!C:C,"Sep")</f>
        <v>0</v>
      </c>
      <c r="K8" s="14" t="n">
        <f aca="false">SUMIFS('Expense Data'!I:I,'Expense Data'!E:E,A8,'Expense Data'!C:C,"Oct")</f>
        <v>983.16</v>
      </c>
      <c r="L8" s="14" t="n">
        <f aca="false">SUMIFS('Expense Data'!I:I,'Expense Data'!E:E,A8,'Expense Data'!C:C,"Nov")</f>
        <v>624.24</v>
      </c>
      <c r="M8" s="14" t="n">
        <f aca="false">SUMIFS('Expense Data'!I:I,'Expense Data'!E:E,A8,'Expense Data'!C:C,"Dec")</f>
        <v>277.4</v>
      </c>
      <c r="N8" s="12" t="n">
        <f aca="false">SUM(B8:M8)</f>
        <v>6685.24</v>
      </c>
    </row>
    <row r="9" customFormat="false" ht="15" hidden="false" customHeight="false" outlineLevel="0" collapsed="false">
      <c r="A9" s="10" t="s">
        <v>18</v>
      </c>
      <c r="B9" s="11" t="n">
        <f aca="false">SUMIFS('Expense Data'!I:I,'Expense Data'!E:E,A9,'Expense Data'!C:C,"Jan")</f>
        <v>7540.22</v>
      </c>
      <c r="C9" s="11" t="n">
        <f aca="false">SUMIFS('Expense Data'!I:I,'Expense Data'!E:E,A9,'Expense Data'!C:C,"Feb")</f>
        <v>0</v>
      </c>
      <c r="D9" s="11" t="n">
        <f aca="false">SUMIFS('Expense Data'!I:I,'Expense Data'!E:E,A9,'Expense Data'!C:C,"Mar")</f>
        <v>0</v>
      </c>
      <c r="E9" s="11" t="n">
        <f aca="false">SUMIFS('Expense Data'!I:I,'Expense Data'!E:E,A9,'Expense Data'!C:C,"Apr")</f>
        <v>3728.2</v>
      </c>
      <c r="F9" s="11" t="n">
        <f aca="false">SUMIFS('Expense Data'!I:I,'Expense Data'!E:E,A9,'Expense Data'!C:C,"May")</f>
        <v>0</v>
      </c>
      <c r="G9" s="11" t="n">
        <f aca="false">SUMIFS('Expense Data'!I:I,'Expense Data'!E:E,A9,'Expense Data'!C:C,"Jun")</f>
        <v>0</v>
      </c>
      <c r="H9" s="11" t="n">
        <f aca="false">SUMIFS('Expense Data'!I:I,'Expense Data'!E:E,A9,'Expense Data'!C:C,"Jul")</f>
        <v>0</v>
      </c>
      <c r="I9" s="11" t="n">
        <f aca="false">SUMIFS('Expense Data'!I:I,'Expense Data'!E:E,A9,'Expense Data'!C:C,"Aug")</f>
        <v>6984.85</v>
      </c>
      <c r="J9" s="11" t="n">
        <f aca="false">SUMIFS('Expense Data'!I:I,'Expense Data'!E:E,A9,'Expense Data'!C:C,"Sep")</f>
        <v>5654.1</v>
      </c>
      <c r="K9" s="11" t="n">
        <f aca="false">SUMIFS('Expense Data'!I:I,'Expense Data'!E:E,A9,'Expense Data'!C:C,"Oct")</f>
        <v>2939.56</v>
      </c>
      <c r="L9" s="11" t="n">
        <f aca="false">SUMIFS('Expense Data'!I:I,'Expense Data'!E:E,A9,'Expense Data'!C:C,"Nov")</f>
        <v>3258.64</v>
      </c>
      <c r="M9" s="11" t="n">
        <f aca="false">SUMIFS('Expense Data'!I:I,'Expense Data'!E:E,A9,'Expense Data'!C:C,"Dec")</f>
        <v>5254.29</v>
      </c>
      <c r="N9" s="12" t="n">
        <f aca="false">SUM(B9:M9)</f>
        <v>35359.86</v>
      </c>
    </row>
    <row r="10" customFormat="false" ht="15" hidden="false" customHeight="false" outlineLevel="0" collapsed="false">
      <c r="A10" s="13" t="s">
        <v>58</v>
      </c>
      <c r="B10" s="14" t="n">
        <f aca="false">SUMIFS('Expense Data'!I:I,'Expense Data'!E:E,A10,'Expense Data'!C:C,"Jan")</f>
        <v>0</v>
      </c>
      <c r="C10" s="14" t="n">
        <f aca="false">SUMIFS('Expense Data'!I:I,'Expense Data'!E:E,A10,'Expense Data'!C:C,"Feb")</f>
        <v>0</v>
      </c>
      <c r="D10" s="14" t="n">
        <f aca="false">SUMIFS('Expense Data'!I:I,'Expense Data'!E:E,A10,'Expense Data'!C:C,"Mar")</f>
        <v>0</v>
      </c>
      <c r="E10" s="14" t="n">
        <f aca="false">SUMIFS('Expense Data'!I:I,'Expense Data'!E:E,A10,'Expense Data'!C:C,"Apr")</f>
        <v>1068.9</v>
      </c>
      <c r="F10" s="14" t="n">
        <f aca="false">SUMIFS('Expense Data'!I:I,'Expense Data'!E:E,A10,'Expense Data'!C:C,"May")</f>
        <v>1947.93</v>
      </c>
      <c r="G10" s="14" t="n">
        <f aca="false">SUMIFS('Expense Data'!I:I,'Expense Data'!E:E,A10,'Expense Data'!C:C,"Jun")</f>
        <v>5155.94</v>
      </c>
      <c r="H10" s="14" t="n">
        <f aca="false">SUMIFS('Expense Data'!I:I,'Expense Data'!E:E,A10,'Expense Data'!C:C,"Jul")</f>
        <v>915.55</v>
      </c>
      <c r="I10" s="14" t="n">
        <f aca="false">SUMIFS('Expense Data'!I:I,'Expense Data'!E:E,A10,'Expense Data'!C:C,"Aug")</f>
        <v>1850.83</v>
      </c>
      <c r="J10" s="14" t="n">
        <f aca="false">SUMIFS('Expense Data'!I:I,'Expense Data'!E:E,A10,'Expense Data'!C:C,"Sep")</f>
        <v>1379.26</v>
      </c>
      <c r="K10" s="14" t="n">
        <f aca="false">SUMIFS('Expense Data'!I:I,'Expense Data'!E:E,A10,'Expense Data'!C:C,"Oct")</f>
        <v>402.88</v>
      </c>
      <c r="L10" s="14" t="n">
        <f aca="false">SUMIFS('Expense Data'!I:I,'Expense Data'!E:E,A10,'Expense Data'!C:C,"Nov")</f>
        <v>0</v>
      </c>
      <c r="M10" s="14" t="n">
        <f aca="false">SUMIFS('Expense Data'!I:I,'Expense Data'!E:E,A10,'Expense Data'!C:C,"Dec")</f>
        <v>0</v>
      </c>
      <c r="N10" s="12" t="n">
        <f aca="false">SUM(B10:M10)</f>
        <v>12721.29</v>
      </c>
    </row>
    <row r="11" customFormat="false" ht="15" hidden="false" customHeight="false" outlineLevel="0" collapsed="false">
      <c r="A11" s="10" t="s">
        <v>42</v>
      </c>
      <c r="B11" s="11" t="n">
        <f aca="false">SUMIFS('Expense Data'!I:I,'Expense Data'!E:E,A11,'Expense Data'!C:C,"Jan")</f>
        <v>0</v>
      </c>
      <c r="C11" s="11" t="n">
        <f aca="false">SUMIFS('Expense Data'!I:I,'Expense Data'!E:E,A11,'Expense Data'!C:C,"Feb")</f>
        <v>651.32</v>
      </c>
      <c r="D11" s="11" t="n">
        <f aca="false">SUMIFS('Expense Data'!I:I,'Expense Data'!E:E,A11,'Expense Data'!C:C,"Mar")</f>
        <v>0</v>
      </c>
      <c r="E11" s="11" t="n">
        <f aca="false">SUMIFS('Expense Data'!I:I,'Expense Data'!E:E,A11,'Expense Data'!C:C,"Apr")</f>
        <v>401.91</v>
      </c>
      <c r="F11" s="11" t="n">
        <f aca="false">SUMIFS('Expense Data'!I:I,'Expense Data'!E:E,A11,'Expense Data'!C:C,"May")</f>
        <v>480.03</v>
      </c>
      <c r="G11" s="11" t="n">
        <f aca="false">SUMIFS('Expense Data'!I:I,'Expense Data'!E:E,A11,'Expense Data'!C:C,"Jun")</f>
        <v>159.97</v>
      </c>
      <c r="H11" s="11" t="n">
        <f aca="false">SUMIFS('Expense Data'!I:I,'Expense Data'!E:E,A11,'Expense Data'!C:C,"Jul")</f>
        <v>536.1</v>
      </c>
      <c r="I11" s="11" t="n">
        <f aca="false">SUMIFS('Expense Data'!I:I,'Expense Data'!E:E,A11,'Expense Data'!C:C,"Aug")</f>
        <v>0</v>
      </c>
      <c r="J11" s="11" t="n">
        <f aca="false">SUMIFS('Expense Data'!I:I,'Expense Data'!E:E,A11,'Expense Data'!C:C,"Sep")</f>
        <v>326.37</v>
      </c>
      <c r="K11" s="11" t="n">
        <f aca="false">SUMIFS('Expense Data'!I:I,'Expense Data'!E:E,A11,'Expense Data'!C:C,"Oct")</f>
        <v>580.68</v>
      </c>
      <c r="L11" s="11" t="n">
        <f aca="false">SUMIFS('Expense Data'!I:I,'Expense Data'!E:E,A11,'Expense Data'!C:C,"Nov")</f>
        <v>131.98</v>
      </c>
      <c r="M11" s="11" t="n">
        <f aca="false">SUMIFS('Expense Data'!I:I,'Expense Data'!E:E,A11,'Expense Data'!C:C,"Dec")</f>
        <v>0</v>
      </c>
      <c r="N11" s="12" t="n">
        <f aca="false">SUM(B11:M11)</f>
        <v>3268.36</v>
      </c>
    </row>
    <row r="12" customFormat="false" ht="15" hidden="false" customHeight="false" outlineLevel="0" collapsed="false">
      <c r="A12" s="1" t="s">
        <v>92</v>
      </c>
      <c r="B12" s="15" t="n">
        <f aca="false">SUM(B3:B11)</f>
        <v>57827.47</v>
      </c>
      <c r="C12" s="15" t="n">
        <f aca="false">SUM(C3:C11)</f>
        <v>46342.59</v>
      </c>
      <c r="D12" s="15" t="n">
        <f aca="false">SUM(D3:D11)</f>
        <v>35748.73</v>
      </c>
      <c r="E12" s="15" t="n">
        <f aca="false">SUM(E3:E11)</f>
        <v>31605.33</v>
      </c>
      <c r="F12" s="15" t="n">
        <f aca="false">SUM(F3:F11)</f>
        <v>28228.98</v>
      </c>
      <c r="G12" s="15" t="n">
        <f aca="false">SUM(G3:G11)</f>
        <v>15873.7</v>
      </c>
      <c r="H12" s="15" t="n">
        <f aca="false">SUM(H3:H11)</f>
        <v>28009.23</v>
      </c>
      <c r="I12" s="15" t="n">
        <f aca="false">SUM(I3:I11)</f>
        <v>48110.54</v>
      </c>
      <c r="J12" s="15" t="n">
        <f aca="false">SUM(J3:J11)</f>
        <v>23930.71</v>
      </c>
      <c r="K12" s="15" t="n">
        <f aca="false">SUM(K3:K11)</f>
        <v>32641.59</v>
      </c>
      <c r="L12" s="15" t="n">
        <f aca="false">SUM(L3:L11)</f>
        <v>41492.32</v>
      </c>
      <c r="M12" s="15" t="n">
        <f aca="false">SUM(M3:M11)</f>
        <v>50548.5</v>
      </c>
      <c r="N12" s="15" t="n">
        <f aca="false">SUM(N3:N11)</f>
        <v>440359.69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5"/>
    <col collapsed="false" customWidth="true" hidden="false" outlineLevel="0" max="8" min="7" style="0" width="18"/>
  </cols>
  <sheetData>
    <row r="1" customFormat="false" ht="34.5" hidden="false" customHeight="true" outlineLevel="0" collapsed="false">
      <c r="A1" s="8" t="s">
        <v>93</v>
      </c>
      <c r="B1" s="8"/>
      <c r="C1" s="8"/>
      <c r="D1" s="8"/>
      <c r="E1" s="8"/>
      <c r="F1" s="8"/>
      <c r="G1" s="8"/>
      <c r="H1" s="8"/>
    </row>
    <row r="3" customFormat="false" ht="15" hidden="false" customHeight="true" outlineLevel="0" collapsed="false">
      <c r="A3" s="16" t="s">
        <v>94</v>
      </c>
      <c r="B3" s="16"/>
      <c r="C3" s="16"/>
      <c r="D3" s="16"/>
      <c r="E3" s="16"/>
      <c r="F3" s="16"/>
      <c r="G3" s="16"/>
      <c r="H3" s="16"/>
    </row>
    <row r="4" customFormat="false" ht="22.35" hidden="false" customHeight="false" outlineLevel="0" collapsed="false">
      <c r="A4" s="17" t="s">
        <v>95</v>
      </c>
      <c r="B4" s="17" t="s">
        <v>96</v>
      </c>
      <c r="C4" s="17" t="s">
        <v>97</v>
      </c>
      <c r="D4" s="17" t="s">
        <v>10</v>
      </c>
      <c r="E4" s="17" t="s">
        <v>98</v>
      </c>
      <c r="F4" s="17" t="s">
        <v>99</v>
      </c>
      <c r="G4" s="17" t="s">
        <v>100</v>
      </c>
      <c r="H4" s="17" t="s">
        <v>101</v>
      </c>
    </row>
    <row r="5" customFormat="false" ht="16.15" hidden="false" customHeight="false" outlineLevel="0" collapsed="false">
      <c r="A5" s="18" t="n">
        <f aca="false">SUMIF('Expense Data'!E:E,"&lt;&gt;",'Expense Data'!H:H)</f>
        <v>453193.86</v>
      </c>
      <c r="B5" s="18" t="n">
        <f aca="false">SUMIF('Expense Data'!E:E,"&lt;&gt;",'Expense Data'!I:I)</f>
        <v>440359.69</v>
      </c>
      <c r="C5" s="18" t="n">
        <f aca="false">SUMIF('Expense Data'!E:E,"&lt;&gt;",'Expense Data'!J:J)</f>
        <v>-12834.17</v>
      </c>
      <c r="D5" s="19" t="n">
        <f aca="false">IFERROR(B8/B6,0)</f>
        <v>0</v>
      </c>
      <c r="E5" s="18" t="n">
        <f aca="false">COUNTIF('Expense Data'!L:L,"Over Budget")</f>
        <v>32</v>
      </c>
      <c r="F5" s="18" t="n">
        <f aca="false">COUNTIF('Expense Data'!L:L,"Under Budget")</f>
        <v>98</v>
      </c>
      <c r="G5" s="18" t="n">
        <f aca="false">COUNTA('Expense Data'!A:A)-1</f>
        <v>130</v>
      </c>
      <c r="H5" s="18" t="n">
        <f aca="false">IFERROR(B8/B12,0)</f>
        <v>0</v>
      </c>
    </row>
    <row r="7" customFormat="false" ht="21.75" hidden="false" customHeight="true" outlineLevel="0" collapsed="false">
      <c r="A7" s="16" t="s">
        <v>102</v>
      </c>
      <c r="B7" s="16"/>
      <c r="C7" s="16"/>
      <c r="D7" s="16"/>
      <c r="E7" s="16"/>
      <c r="F7" s="16"/>
      <c r="G7" s="16"/>
      <c r="H7" s="16"/>
    </row>
    <row r="8" customFormat="false" ht="15" hidden="false" customHeight="false" outlineLevel="0" collapsed="false">
      <c r="A8" s="20" t="s">
        <v>4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</row>
    <row r="9" customFormat="false" ht="15" hidden="false" customHeight="false" outlineLevel="0" collapsed="false">
      <c r="A9" s="5" t="s">
        <v>26</v>
      </c>
      <c r="B9" s="11" t="n">
        <f aca="false">SUMIF('Expense Data'!E:E,A9,'Expense Data'!H:H)</f>
        <v>199173.41</v>
      </c>
      <c r="C9" s="11" t="n">
        <f aca="false">SUMIF('Expense Data'!E:E,A9,'Expense Data'!I:I)</f>
        <v>201501.93</v>
      </c>
      <c r="D9" s="11" t="n">
        <f aca="false">C9-B9</f>
        <v>2328.51999999999</v>
      </c>
      <c r="E9" s="7" t="n">
        <f aca="false">IFERROR(D9/B9,0)</f>
        <v>0.0116909179794632</v>
      </c>
      <c r="F9" s="21" t="str">
        <f aca="false">IF(D9&gt;0,"Over Budget",IF(D9&lt;0,"Under Budget","On Budget"))</f>
        <v>Over Budget</v>
      </c>
    </row>
    <row r="10" customFormat="false" ht="15" hidden="false" customHeight="false" outlineLevel="0" collapsed="false">
      <c r="A10" s="2" t="s">
        <v>15</v>
      </c>
      <c r="B10" s="14" t="n">
        <f aca="false">SUMIF('Expense Data'!E:E,A10,'Expense Data'!H:H)</f>
        <v>56011.07</v>
      </c>
      <c r="C10" s="14" t="n">
        <f aca="false">SUMIF('Expense Data'!E:E,A10,'Expense Data'!I:I)</f>
        <v>52898.59</v>
      </c>
      <c r="D10" s="14" t="n">
        <f aca="false">C10-B10</f>
        <v>-3112.48</v>
      </c>
      <c r="E10" s="4" t="n">
        <f aca="false">IFERROR(D10/B10,0)</f>
        <v>-0.0555690151964603</v>
      </c>
      <c r="F10" s="22" t="str">
        <f aca="false">IF(D10&gt;0,"Over Budget",IF(D10&lt;0,"Under Budget","On Budget"))</f>
        <v>Under Budget</v>
      </c>
    </row>
    <row r="11" customFormat="false" ht="15" hidden="false" customHeight="false" outlineLevel="0" collapsed="false">
      <c r="A11" s="5" t="s">
        <v>21</v>
      </c>
      <c r="B11" s="11" t="n">
        <f aca="false">SUMIF('Expense Data'!E:E,A11,'Expense Data'!H:H)</f>
        <v>55808.83</v>
      </c>
      <c r="C11" s="11" t="n">
        <f aca="false">SUMIF('Expense Data'!E:E,A11,'Expense Data'!I:I)</f>
        <v>52987.22</v>
      </c>
      <c r="D11" s="11" t="n">
        <f aca="false">C11-B11</f>
        <v>-2821.61</v>
      </c>
      <c r="E11" s="7" t="n">
        <f aca="false">IFERROR(D11/B11,0)</f>
        <v>-0.0505584868917696</v>
      </c>
      <c r="F11" s="21" t="str">
        <f aca="false">IF(D11&gt;0,"Over Budget",IF(D11&lt;0,"Under Budget","On Budget"))</f>
        <v>Under Budget</v>
      </c>
    </row>
    <row r="12" customFormat="false" ht="15" hidden="false" customHeight="false" outlineLevel="0" collapsed="false">
      <c r="A12" s="2" t="s">
        <v>16</v>
      </c>
      <c r="B12" s="14" t="n">
        <f aca="false">SUMIF('Expense Data'!E:E,A12,'Expense Data'!H:H)</f>
        <v>62112.91</v>
      </c>
      <c r="C12" s="14" t="n">
        <f aca="false">SUMIF('Expense Data'!E:E,A12,'Expense Data'!I:I)</f>
        <v>56014.74</v>
      </c>
      <c r="D12" s="14" t="n">
        <f aca="false">C12-B12</f>
        <v>-6098.17000000001</v>
      </c>
      <c r="E12" s="4" t="n">
        <f aca="false">IFERROR(D12/B12,0)</f>
        <v>-0.0981787844105196</v>
      </c>
      <c r="F12" s="22" t="str">
        <f aca="false">IF(D12&gt;0,"Over Budget",IF(D12&lt;0,"Under Budget","On Budget"))</f>
        <v>Under Budget</v>
      </c>
    </row>
    <row r="13" customFormat="false" ht="15" hidden="false" customHeight="false" outlineLevel="0" collapsed="false">
      <c r="A13" s="5" t="s">
        <v>29</v>
      </c>
      <c r="B13" s="11" t="n">
        <f aca="false">SUMIF('Expense Data'!E:E,A13,'Expense Data'!H:H)</f>
        <v>20670.92</v>
      </c>
      <c r="C13" s="11" t="n">
        <f aca="false">SUMIF('Expense Data'!E:E,A13,'Expense Data'!I:I)</f>
        <v>18922.46</v>
      </c>
      <c r="D13" s="11" t="n">
        <f aca="false">C13-B13</f>
        <v>-1748.46</v>
      </c>
      <c r="E13" s="7" t="n">
        <f aca="false">IFERROR(D13/B13,0)</f>
        <v>-0.0845854949852256</v>
      </c>
      <c r="F13" s="21" t="str">
        <f aca="false">IF(D13&gt;0,"Over Budget",IF(D13&lt;0,"Under Budget","On Budget"))</f>
        <v>Under Budget</v>
      </c>
    </row>
    <row r="14" customFormat="false" ht="15" hidden="false" customHeight="false" outlineLevel="0" collapsed="false">
      <c r="A14" s="2" t="s">
        <v>31</v>
      </c>
      <c r="B14" s="14" t="n">
        <f aca="false">SUMIF('Expense Data'!E:E,A14,'Expense Data'!H:H)</f>
        <v>7247.67</v>
      </c>
      <c r="C14" s="14" t="n">
        <f aca="false">SUMIF('Expense Data'!E:E,A14,'Expense Data'!I:I)</f>
        <v>6685.24</v>
      </c>
      <c r="D14" s="14" t="n">
        <f aca="false">C14-B14</f>
        <v>-562.43</v>
      </c>
      <c r="E14" s="4" t="n">
        <f aca="false">IFERROR(D14/B14,0)</f>
        <v>-0.0776014912378737</v>
      </c>
      <c r="F14" s="22" t="str">
        <f aca="false">IF(D14&gt;0,"Over Budget",IF(D14&lt;0,"Under Budget","On Budget"))</f>
        <v>Under Budget</v>
      </c>
    </row>
    <row r="15" customFormat="false" ht="15" hidden="false" customHeight="false" outlineLevel="0" collapsed="false">
      <c r="A15" s="5" t="s">
        <v>18</v>
      </c>
      <c r="B15" s="11" t="n">
        <f aca="false">SUMIF('Expense Data'!E:E,A15,'Expense Data'!H:H)</f>
        <v>36906.82</v>
      </c>
      <c r="C15" s="11" t="n">
        <f aca="false">SUMIF('Expense Data'!E:E,A15,'Expense Data'!I:I)</f>
        <v>35359.86</v>
      </c>
      <c r="D15" s="11" t="n">
        <f aca="false">C15-B15</f>
        <v>-1546.96</v>
      </c>
      <c r="E15" s="7" t="n">
        <f aca="false">IFERROR(D15/B15,0)</f>
        <v>-0.0419152882854713</v>
      </c>
      <c r="F15" s="21" t="str">
        <f aca="false">IF(D15&gt;0,"Over Budget",IF(D15&lt;0,"Under Budget","On Budget"))</f>
        <v>Under Budget</v>
      </c>
    </row>
    <row r="16" customFormat="false" ht="15" hidden="false" customHeight="false" outlineLevel="0" collapsed="false">
      <c r="A16" s="2" t="s">
        <v>58</v>
      </c>
      <c r="B16" s="14" t="n">
        <f aca="false">SUMIF('Expense Data'!E:E,A16,'Expense Data'!H:H)</f>
        <v>11865.96</v>
      </c>
      <c r="C16" s="14" t="n">
        <f aca="false">SUMIF('Expense Data'!E:E,A16,'Expense Data'!I:I)</f>
        <v>12721.29</v>
      </c>
      <c r="D16" s="14" t="n">
        <f aca="false">C16-B16</f>
        <v>855.33</v>
      </c>
      <c r="E16" s="4" t="n">
        <f aca="false">IFERROR(D16/B16,0)</f>
        <v>0.0720826633496152</v>
      </c>
      <c r="F16" s="22" t="str">
        <f aca="false">IF(D16&gt;0,"Over Budget",IF(D16&lt;0,"Under Budget","On Budget"))</f>
        <v>Over Budget</v>
      </c>
    </row>
    <row r="17" customFormat="false" ht="15" hidden="false" customHeight="false" outlineLevel="0" collapsed="false">
      <c r="A17" s="5" t="s">
        <v>42</v>
      </c>
      <c r="B17" s="11" t="n">
        <f aca="false">SUMIF('Expense Data'!E:E,A17,'Expense Data'!H:H)</f>
        <v>3396.27</v>
      </c>
      <c r="C17" s="11" t="n">
        <f aca="false">SUMIF('Expense Data'!E:E,A17,'Expense Data'!I:I)</f>
        <v>3268.36</v>
      </c>
      <c r="D17" s="11" t="n">
        <f aca="false">C17-B17</f>
        <v>-127.91</v>
      </c>
      <c r="E17" s="7" t="n">
        <f aca="false">IFERROR(D17/B17,0)</f>
        <v>-0.0376619055611008</v>
      </c>
      <c r="F17" s="21" t="str">
        <f aca="false">IF(D17&gt;0,"Over Budget",IF(D17&lt;0,"Under Budget","On Budget"))</f>
        <v>Under Budget</v>
      </c>
    </row>
    <row r="18" customFormat="false" ht="15" hidden="false" customHeight="false" outlineLevel="0" collapsed="false">
      <c r="A18" s="23" t="s">
        <v>103</v>
      </c>
      <c r="B18" s="15" t="n">
        <f aca="false">SUM(B9:B17)</f>
        <v>453193.86</v>
      </c>
      <c r="C18" s="15" t="n">
        <f aca="false">SUM(C9:C17)</f>
        <v>440359.69</v>
      </c>
      <c r="D18" s="15" t="n">
        <f aca="false">SUM(D9:D17)</f>
        <v>-12834.17</v>
      </c>
      <c r="E18" s="24" t="n">
        <f aca="false">SUM(E9:E17)</f>
        <v>-0.362296885239343</v>
      </c>
      <c r="F18" s="25"/>
    </row>
  </sheetData>
  <mergeCells count="3">
    <mergeCell ref="A1:H1"/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0"/>
  </cols>
  <sheetData>
    <row r="1" customFormat="false" ht="34.5" hidden="false" customHeight="true" outlineLevel="0" collapsed="false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" hidden="false" customHeight="true" outlineLevel="0" collapsed="false">
      <c r="A2" s="1" t="s">
        <v>4</v>
      </c>
      <c r="B2" s="26" t="s">
        <v>13</v>
      </c>
      <c r="C2" s="26"/>
      <c r="D2" s="26" t="s">
        <v>38</v>
      </c>
      <c r="E2" s="26"/>
      <c r="F2" s="26" t="s">
        <v>49</v>
      </c>
      <c r="G2" s="26"/>
      <c r="H2" s="26" t="s">
        <v>54</v>
      </c>
      <c r="I2" s="26"/>
      <c r="J2" s="26" t="s">
        <v>63</v>
      </c>
      <c r="K2" s="26"/>
      <c r="L2" s="26" t="s">
        <v>68</v>
      </c>
      <c r="M2" s="26"/>
    </row>
    <row r="3" customFormat="false" ht="15" hidden="false" customHeight="false" outlineLevel="0" collapsed="false">
      <c r="B3" s="27" t="s">
        <v>105</v>
      </c>
      <c r="C3" s="27" t="s">
        <v>106</v>
      </c>
      <c r="D3" s="27" t="s">
        <v>105</v>
      </c>
      <c r="E3" s="27" t="s">
        <v>106</v>
      </c>
      <c r="F3" s="27" t="s">
        <v>105</v>
      </c>
      <c r="G3" s="27" t="s">
        <v>106</v>
      </c>
      <c r="H3" s="27" t="s">
        <v>105</v>
      </c>
      <c r="I3" s="27" t="s">
        <v>106</v>
      </c>
      <c r="J3" s="27" t="s">
        <v>105</v>
      </c>
      <c r="K3" s="27" t="s">
        <v>106</v>
      </c>
      <c r="L3" s="27" t="s">
        <v>105</v>
      </c>
      <c r="M3" s="27" t="s">
        <v>106</v>
      </c>
    </row>
    <row r="4" customFormat="false" ht="15" hidden="false" customHeight="false" outlineLevel="0" collapsed="false">
      <c r="A4" s="2" t="s">
        <v>26</v>
      </c>
      <c r="B4" s="14" t="n">
        <f aca="false">SUMIFS('Expense Data'!H:H,'Expense Data'!E:E,A4,'Expense Data'!C:C,"Jan")</f>
        <v>34784.39</v>
      </c>
      <c r="C4" s="14" t="n">
        <f aca="false">SUMIFS('Expense Data'!I:I,'Expense Data'!E:E,A4,'Expense Data'!C:C,"Jan")</f>
        <v>35848.03</v>
      </c>
      <c r="D4" s="14" t="n">
        <f aca="false">SUMIFS('Expense Data'!H:H,'Expense Data'!E:E,A4,'Expense Data'!C:C,"Feb")</f>
        <v>27741.18</v>
      </c>
      <c r="E4" s="14" t="n">
        <f aca="false">SUMIFS('Expense Data'!I:I,'Expense Data'!E:E,A4,'Expense Data'!C:C,"Feb")</f>
        <v>25573.77</v>
      </c>
      <c r="F4" s="14" t="n">
        <f aca="false">SUMIFS('Expense Data'!H:H,'Expense Data'!E:E,A4,'Expense Data'!C:C,"Mar")</f>
        <v>14782.97</v>
      </c>
      <c r="G4" s="14" t="n">
        <f aca="false">SUMIFS('Expense Data'!I:I,'Expense Data'!E:E,A4,'Expense Data'!C:C,"Mar")</f>
        <v>14098.33</v>
      </c>
      <c r="H4" s="14" t="n">
        <f aca="false">SUMIFS('Expense Data'!H:H,'Expense Data'!E:E,A4,'Expense Data'!C:C,"Apr")</f>
        <v>13235.83</v>
      </c>
      <c r="I4" s="14" t="n">
        <f aca="false">SUMIFS('Expense Data'!I:I,'Expense Data'!E:E,A4,'Expense Data'!C:C,"Apr")</f>
        <v>16217.24</v>
      </c>
      <c r="J4" s="14" t="n">
        <f aca="false">SUMIFS('Expense Data'!H:H,'Expense Data'!E:E,A4,'Expense Data'!C:C,"May")</f>
        <v>12281.74</v>
      </c>
      <c r="K4" s="14" t="n">
        <f aca="false">SUMIFS('Expense Data'!I:I,'Expense Data'!E:E,A4,'Expense Data'!C:C,"May")</f>
        <v>11138.98</v>
      </c>
      <c r="L4" s="14" t="n">
        <f aca="false">SUMIFS('Expense Data'!H:H,'Expense Data'!E:E,A4,'Expense Data'!C:C,"Jun")</f>
        <v>0</v>
      </c>
      <c r="M4" s="14" t="n">
        <f aca="false">SUMIFS('Expense Data'!I:I,'Expense Data'!E:E,A4,'Expense Data'!C:C,"Jun")</f>
        <v>0</v>
      </c>
    </row>
    <row r="5" customFormat="false" ht="15" hidden="false" customHeight="false" outlineLevel="0" collapsed="false">
      <c r="A5" s="5" t="s">
        <v>15</v>
      </c>
      <c r="B5" s="11" t="n">
        <f aca="false">SUMIFS('Expense Data'!H:H,'Expense Data'!E:E,A5,'Expense Data'!C:C,"Jan")</f>
        <v>8055.14</v>
      </c>
      <c r="C5" s="11" t="n">
        <f aca="false">SUMIFS('Expense Data'!I:I,'Expense Data'!E:E,A5,'Expense Data'!C:C,"Jan")</f>
        <v>7303.63</v>
      </c>
      <c r="D5" s="11" t="n">
        <f aca="false">SUMIFS('Expense Data'!H:H,'Expense Data'!E:E,A5,'Expense Data'!C:C,"Feb")</f>
        <v>3115.85</v>
      </c>
      <c r="E5" s="11" t="n">
        <f aca="false">SUMIFS('Expense Data'!I:I,'Expense Data'!E:E,A5,'Expense Data'!C:C,"Feb")</f>
        <v>3045.02</v>
      </c>
      <c r="F5" s="11" t="n">
        <f aca="false">SUMIFS('Expense Data'!H:H,'Expense Data'!E:E,A5,'Expense Data'!C:C,"Mar")</f>
        <v>8102.03</v>
      </c>
      <c r="G5" s="11" t="n">
        <f aca="false">SUMIFS('Expense Data'!I:I,'Expense Data'!E:E,A5,'Expense Data'!C:C,"Mar")</f>
        <v>6525.55</v>
      </c>
      <c r="H5" s="11" t="n">
        <f aca="false">SUMIFS('Expense Data'!H:H,'Expense Data'!E:E,A5,'Expense Data'!C:C,"Apr")</f>
        <v>3309.59</v>
      </c>
      <c r="I5" s="11" t="n">
        <f aca="false">SUMIFS('Expense Data'!I:I,'Expense Data'!E:E,A5,'Expense Data'!C:C,"Apr")</f>
        <v>3251.64</v>
      </c>
      <c r="J5" s="11" t="n">
        <f aca="false">SUMIFS('Expense Data'!H:H,'Expense Data'!E:E,A5,'Expense Data'!C:C,"May")</f>
        <v>8087.26</v>
      </c>
      <c r="K5" s="11" t="n">
        <f aca="false">SUMIFS('Expense Data'!I:I,'Expense Data'!E:E,A5,'Expense Data'!C:C,"May")</f>
        <v>9340.37</v>
      </c>
      <c r="L5" s="11" t="n">
        <f aca="false">SUMIFS('Expense Data'!H:H,'Expense Data'!E:E,A5,'Expense Data'!C:C,"Jun")</f>
        <v>8006.74</v>
      </c>
      <c r="M5" s="11" t="n">
        <f aca="false">SUMIFS('Expense Data'!I:I,'Expense Data'!E:E,A5,'Expense Data'!C:C,"Jun")</f>
        <v>7096.01</v>
      </c>
    </row>
    <row r="6" customFormat="false" ht="15" hidden="false" customHeight="false" outlineLevel="0" collapsed="false">
      <c r="A6" s="2" t="s">
        <v>21</v>
      </c>
      <c r="B6" s="14" t="n">
        <f aca="false">SUMIFS('Expense Data'!H:H,'Expense Data'!E:E,A6,'Expense Data'!C:C,"Jan")</f>
        <v>4332.08</v>
      </c>
      <c r="C6" s="14" t="n">
        <f aca="false">SUMIFS('Expense Data'!I:I,'Expense Data'!E:E,A6,'Expense Data'!C:C,"Jan")</f>
        <v>4526.27</v>
      </c>
      <c r="D6" s="14" t="n">
        <f aca="false">SUMIFS('Expense Data'!H:H,'Expense Data'!E:E,A6,'Expense Data'!C:C,"Feb")</f>
        <v>9101.37</v>
      </c>
      <c r="E6" s="14" t="n">
        <f aca="false">SUMIFS('Expense Data'!I:I,'Expense Data'!E:E,A6,'Expense Data'!C:C,"Feb")</f>
        <v>9294.91</v>
      </c>
      <c r="F6" s="14" t="n">
        <f aca="false">SUMIFS('Expense Data'!H:H,'Expense Data'!E:E,A6,'Expense Data'!C:C,"Mar")</f>
        <v>4397.5</v>
      </c>
      <c r="G6" s="14" t="n">
        <f aca="false">SUMIFS('Expense Data'!I:I,'Expense Data'!E:E,A6,'Expense Data'!C:C,"Mar")</f>
        <v>4215.16</v>
      </c>
      <c r="H6" s="14" t="n">
        <f aca="false">SUMIFS('Expense Data'!H:H,'Expense Data'!E:E,A6,'Expense Data'!C:C,"Apr")</f>
        <v>3804.12</v>
      </c>
      <c r="I6" s="14" t="n">
        <f aca="false">SUMIFS('Expense Data'!I:I,'Expense Data'!E:E,A6,'Expense Data'!C:C,"Apr")</f>
        <v>4811.67</v>
      </c>
      <c r="J6" s="14" t="n">
        <f aca="false">SUMIFS('Expense Data'!H:H,'Expense Data'!E:E,A6,'Expense Data'!C:C,"May")</f>
        <v>3669.14</v>
      </c>
      <c r="K6" s="14" t="n">
        <f aca="false">SUMIFS('Expense Data'!I:I,'Expense Data'!E:E,A6,'Expense Data'!C:C,"May")</f>
        <v>2888.74</v>
      </c>
      <c r="L6" s="14" t="n">
        <f aca="false">SUMIFS('Expense Data'!H:H,'Expense Data'!E:E,A6,'Expense Data'!C:C,"Jun")</f>
        <v>1667.3</v>
      </c>
      <c r="M6" s="14" t="n">
        <f aca="false">SUMIFS('Expense Data'!I:I,'Expense Data'!E:E,A6,'Expense Data'!C:C,"Jun")</f>
        <v>1434.67</v>
      </c>
    </row>
    <row r="7" customFormat="false" ht="15" hidden="false" customHeight="false" outlineLevel="0" collapsed="false">
      <c r="A7" s="5" t="s">
        <v>16</v>
      </c>
      <c r="B7" s="11" t="n">
        <f aca="false">SUMIFS('Expense Data'!H:H,'Expense Data'!E:E,A7,'Expense Data'!C:C,"Jan")</f>
        <v>0</v>
      </c>
      <c r="C7" s="11" t="n">
        <f aca="false">SUMIFS('Expense Data'!I:I,'Expense Data'!E:E,A7,'Expense Data'!C:C,"Jan")</f>
        <v>0</v>
      </c>
      <c r="D7" s="11" t="n">
        <f aca="false">SUMIFS('Expense Data'!H:H,'Expense Data'!E:E,A7,'Expense Data'!C:C,"Feb")</f>
        <v>3954.42</v>
      </c>
      <c r="E7" s="11" t="n">
        <f aca="false">SUMIFS('Expense Data'!I:I,'Expense Data'!E:E,A7,'Expense Data'!C:C,"Feb")</f>
        <v>4582.75</v>
      </c>
      <c r="F7" s="11" t="n">
        <f aca="false">SUMIFS('Expense Data'!H:H,'Expense Data'!E:E,A7,'Expense Data'!C:C,"Mar")</f>
        <v>10315.14</v>
      </c>
      <c r="G7" s="11" t="n">
        <f aca="false">SUMIFS('Expense Data'!I:I,'Expense Data'!E:E,A7,'Expense Data'!C:C,"Mar")</f>
        <v>7942.82</v>
      </c>
      <c r="H7" s="11" t="n">
        <f aca="false">SUMIFS('Expense Data'!H:H,'Expense Data'!E:E,A7,'Expense Data'!C:C,"Apr")</f>
        <v>2227.52</v>
      </c>
      <c r="I7" s="11" t="n">
        <f aca="false">SUMIFS('Expense Data'!I:I,'Expense Data'!E:E,A7,'Expense Data'!C:C,"Apr")</f>
        <v>2125.77</v>
      </c>
      <c r="J7" s="11" t="n">
        <f aca="false">SUMIFS('Expense Data'!H:H,'Expense Data'!E:E,A7,'Expense Data'!C:C,"May")</f>
        <v>2646.33</v>
      </c>
      <c r="K7" s="11" t="n">
        <f aca="false">SUMIFS('Expense Data'!I:I,'Expense Data'!E:E,A7,'Expense Data'!C:C,"May")</f>
        <v>2432.93</v>
      </c>
      <c r="L7" s="11" t="n">
        <f aca="false">SUMIFS('Expense Data'!H:H,'Expense Data'!E:E,A7,'Expense Data'!C:C,"Jun")</f>
        <v>0</v>
      </c>
      <c r="M7" s="11" t="n">
        <f aca="false">SUMIFS('Expense Data'!I:I,'Expense Data'!E:E,A7,'Expense Data'!C:C,"Jun")</f>
        <v>0</v>
      </c>
    </row>
    <row r="8" customFormat="false" ht="15" hidden="false" customHeight="false" outlineLevel="0" collapsed="false">
      <c r="A8" s="2" t="s">
        <v>29</v>
      </c>
      <c r="B8" s="14" t="n">
        <f aca="false">SUMIFS('Expense Data'!H:H,'Expense Data'!E:E,A8,'Expense Data'!C:C,"Jan")</f>
        <v>1782.98</v>
      </c>
      <c r="C8" s="14" t="n">
        <f aca="false">SUMIFS('Expense Data'!I:I,'Expense Data'!E:E,A8,'Expense Data'!C:C,"Jan")</f>
        <v>1499.9</v>
      </c>
      <c r="D8" s="14" t="n">
        <f aca="false">SUMIFS('Expense Data'!H:H,'Expense Data'!E:E,A8,'Expense Data'!C:C,"Feb")</f>
        <v>2930.8</v>
      </c>
      <c r="E8" s="14" t="n">
        <f aca="false">SUMIFS('Expense Data'!I:I,'Expense Data'!E:E,A8,'Expense Data'!C:C,"Feb")</f>
        <v>2403.15</v>
      </c>
      <c r="F8" s="14" t="n">
        <f aca="false">SUMIFS('Expense Data'!H:H,'Expense Data'!E:E,A8,'Expense Data'!C:C,"Mar")</f>
        <v>1503.47</v>
      </c>
      <c r="G8" s="14" t="n">
        <f aca="false">SUMIFS('Expense Data'!I:I,'Expense Data'!E:E,A8,'Expense Data'!C:C,"Mar")</f>
        <v>1638.32</v>
      </c>
      <c r="H8" s="14" t="n">
        <f aca="false">SUMIFS('Expense Data'!H:H,'Expense Data'!E:E,A8,'Expense Data'!C:C,"Apr")</f>
        <v>0</v>
      </c>
      <c r="I8" s="14" t="n">
        <f aca="false">SUMIFS('Expense Data'!I:I,'Expense Data'!E:E,A8,'Expense Data'!C:C,"Apr")</f>
        <v>0</v>
      </c>
      <c r="J8" s="14" t="n">
        <f aca="false">SUMIFS('Expense Data'!H:H,'Expense Data'!E:E,A8,'Expense Data'!C:C,"May")</f>
        <v>0</v>
      </c>
      <c r="K8" s="14" t="n">
        <f aca="false">SUMIFS('Expense Data'!I:I,'Expense Data'!E:E,A8,'Expense Data'!C:C,"May")</f>
        <v>0</v>
      </c>
      <c r="L8" s="14" t="n">
        <f aca="false">SUMIFS('Expense Data'!H:H,'Expense Data'!E:E,A8,'Expense Data'!C:C,"Jun")</f>
        <v>1523.1</v>
      </c>
      <c r="M8" s="14" t="n">
        <f aca="false">SUMIFS('Expense Data'!I:I,'Expense Data'!E:E,A8,'Expense Data'!C:C,"Jun")</f>
        <v>1271.61</v>
      </c>
    </row>
    <row r="9" customFormat="false" ht="15" hidden="false" customHeight="false" outlineLevel="0" collapsed="false">
      <c r="A9" s="5" t="s">
        <v>31</v>
      </c>
      <c r="B9" s="11" t="n">
        <f aca="false">SUMIFS('Expense Data'!H:H,'Expense Data'!E:E,A9,'Expense Data'!C:C,"Jan")</f>
        <v>1308.2</v>
      </c>
      <c r="C9" s="11" t="n">
        <f aca="false">SUMIFS('Expense Data'!I:I,'Expense Data'!E:E,A9,'Expense Data'!C:C,"Jan")</f>
        <v>1109.42</v>
      </c>
      <c r="D9" s="11" t="n">
        <f aca="false">SUMIFS('Expense Data'!H:H,'Expense Data'!E:E,A9,'Expense Data'!C:C,"Feb")</f>
        <v>971.93</v>
      </c>
      <c r="E9" s="11" t="n">
        <f aca="false">SUMIFS('Expense Data'!I:I,'Expense Data'!E:E,A9,'Expense Data'!C:C,"Feb")</f>
        <v>791.67</v>
      </c>
      <c r="F9" s="11" t="n">
        <f aca="false">SUMIFS('Expense Data'!H:H,'Expense Data'!E:E,A9,'Expense Data'!C:C,"Mar")</f>
        <v>1171.74</v>
      </c>
      <c r="G9" s="11" t="n">
        <f aca="false">SUMIFS('Expense Data'!I:I,'Expense Data'!E:E,A9,'Expense Data'!C:C,"Mar")</f>
        <v>1328.55</v>
      </c>
      <c r="H9" s="11" t="n">
        <f aca="false">SUMIFS('Expense Data'!H:H,'Expense Data'!E:E,A9,'Expense Data'!C:C,"Apr")</f>
        <v>0</v>
      </c>
      <c r="I9" s="11" t="n">
        <f aca="false">SUMIFS('Expense Data'!I:I,'Expense Data'!E:E,A9,'Expense Data'!C:C,"Apr")</f>
        <v>0</v>
      </c>
      <c r="J9" s="11" t="n">
        <f aca="false">SUMIFS('Expense Data'!H:H,'Expense Data'!E:E,A9,'Expense Data'!C:C,"May")</f>
        <v>0</v>
      </c>
      <c r="K9" s="11" t="n">
        <f aca="false">SUMIFS('Expense Data'!I:I,'Expense Data'!E:E,A9,'Expense Data'!C:C,"May")</f>
        <v>0</v>
      </c>
      <c r="L9" s="11" t="n">
        <f aca="false">SUMIFS('Expense Data'!H:H,'Expense Data'!E:E,A9,'Expense Data'!C:C,"Jun")</f>
        <v>785.72</v>
      </c>
      <c r="M9" s="11" t="n">
        <f aca="false">SUMIFS('Expense Data'!I:I,'Expense Data'!E:E,A9,'Expense Data'!C:C,"Jun")</f>
        <v>755.5</v>
      </c>
    </row>
    <row r="10" customFormat="false" ht="15" hidden="false" customHeight="false" outlineLevel="0" collapsed="false">
      <c r="A10" s="2" t="s">
        <v>18</v>
      </c>
      <c r="B10" s="14" t="n">
        <f aca="false">SUMIFS('Expense Data'!H:H,'Expense Data'!E:E,A10,'Expense Data'!C:C,"Jan")</f>
        <v>7909.49</v>
      </c>
      <c r="C10" s="14" t="n">
        <f aca="false">SUMIFS('Expense Data'!I:I,'Expense Data'!E:E,A10,'Expense Data'!C:C,"Jan")</f>
        <v>7540.22</v>
      </c>
      <c r="D10" s="14" t="n">
        <f aca="false">SUMIFS('Expense Data'!H:H,'Expense Data'!E:E,A10,'Expense Data'!C:C,"Feb")</f>
        <v>0</v>
      </c>
      <c r="E10" s="14" t="n">
        <f aca="false">SUMIFS('Expense Data'!I:I,'Expense Data'!E:E,A10,'Expense Data'!C:C,"Feb")</f>
        <v>0</v>
      </c>
      <c r="F10" s="14" t="n">
        <f aca="false">SUMIFS('Expense Data'!H:H,'Expense Data'!E:E,A10,'Expense Data'!C:C,"Mar")</f>
        <v>0</v>
      </c>
      <c r="G10" s="14" t="n">
        <f aca="false">SUMIFS('Expense Data'!I:I,'Expense Data'!E:E,A10,'Expense Data'!C:C,"Mar")</f>
        <v>0</v>
      </c>
      <c r="H10" s="14" t="n">
        <f aca="false">SUMIFS('Expense Data'!H:H,'Expense Data'!E:E,A10,'Expense Data'!C:C,"Apr")</f>
        <v>4417.85</v>
      </c>
      <c r="I10" s="14" t="n">
        <f aca="false">SUMIFS('Expense Data'!I:I,'Expense Data'!E:E,A10,'Expense Data'!C:C,"Apr")</f>
        <v>3728.2</v>
      </c>
      <c r="J10" s="14" t="n">
        <f aca="false">SUMIFS('Expense Data'!H:H,'Expense Data'!E:E,A10,'Expense Data'!C:C,"May")</f>
        <v>0</v>
      </c>
      <c r="K10" s="14" t="n">
        <f aca="false">SUMIFS('Expense Data'!I:I,'Expense Data'!E:E,A10,'Expense Data'!C:C,"May")</f>
        <v>0</v>
      </c>
      <c r="L10" s="14" t="n">
        <f aca="false">SUMIFS('Expense Data'!H:H,'Expense Data'!E:E,A10,'Expense Data'!C:C,"Jun")</f>
        <v>0</v>
      </c>
      <c r="M10" s="14" t="n">
        <f aca="false">SUMIFS('Expense Data'!I:I,'Expense Data'!E:E,A10,'Expense Data'!C:C,"Jun")</f>
        <v>0</v>
      </c>
    </row>
    <row r="11" customFormat="false" ht="15" hidden="false" customHeight="false" outlineLevel="0" collapsed="false">
      <c r="A11" s="5" t="s">
        <v>58</v>
      </c>
      <c r="B11" s="11" t="n">
        <f aca="false">SUMIFS('Expense Data'!H:H,'Expense Data'!E:E,A11,'Expense Data'!C:C,"Jan")</f>
        <v>0</v>
      </c>
      <c r="C11" s="11" t="n">
        <f aca="false">SUMIFS('Expense Data'!I:I,'Expense Data'!E:E,A11,'Expense Data'!C:C,"Jan")</f>
        <v>0</v>
      </c>
      <c r="D11" s="11" t="n">
        <f aca="false">SUMIFS('Expense Data'!H:H,'Expense Data'!E:E,A11,'Expense Data'!C:C,"Feb")</f>
        <v>0</v>
      </c>
      <c r="E11" s="11" t="n">
        <f aca="false">SUMIFS('Expense Data'!I:I,'Expense Data'!E:E,A11,'Expense Data'!C:C,"Feb")</f>
        <v>0</v>
      </c>
      <c r="F11" s="11" t="n">
        <f aca="false">SUMIFS('Expense Data'!H:H,'Expense Data'!E:E,A11,'Expense Data'!C:C,"Mar")</f>
        <v>0</v>
      </c>
      <c r="G11" s="11" t="n">
        <f aca="false">SUMIFS('Expense Data'!I:I,'Expense Data'!E:E,A11,'Expense Data'!C:C,"Mar")</f>
        <v>0</v>
      </c>
      <c r="H11" s="11" t="n">
        <f aca="false">SUMIFS('Expense Data'!H:H,'Expense Data'!E:E,A11,'Expense Data'!C:C,"Apr")</f>
        <v>994.7</v>
      </c>
      <c r="I11" s="11" t="n">
        <f aca="false">SUMIFS('Expense Data'!I:I,'Expense Data'!E:E,A11,'Expense Data'!C:C,"Apr")</f>
        <v>1068.9</v>
      </c>
      <c r="J11" s="11" t="n">
        <f aca="false">SUMIFS('Expense Data'!H:H,'Expense Data'!E:E,A11,'Expense Data'!C:C,"May")</f>
        <v>1896.57</v>
      </c>
      <c r="K11" s="11" t="n">
        <f aca="false">SUMIFS('Expense Data'!I:I,'Expense Data'!E:E,A11,'Expense Data'!C:C,"May")</f>
        <v>1947.93</v>
      </c>
      <c r="L11" s="11" t="n">
        <f aca="false">SUMIFS('Expense Data'!H:H,'Expense Data'!E:E,A11,'Expense Data'!C:C,"Jun")</f>
        <v>4355.95</v>
      </c>
      <c r="M11" s="11" t="n">
        <f aca="false">SUMIFS('Expense Data'!I:I,'Expense Data'!E:E,A11,'Expense Data'!C:C,"Jun")</f>
        <v>5155.94</v>
      </c>
    </row>
    <row r="12" customFormat="false" ht="15" hidden="false" customHeight="false" outlineLevel="0" collapsed="false">
      <c r="A12" s="2" t="s">
        <v>42</v>
      </c>
      <c r="B12" s="14" t="n">
        <f aca="false">SUMIFS('Expense Data'!H:H,'Expense Data'!E:E,A12,'Expense Data'!C:C,"Jan")</f>
        <v>0</v>
      </c>
      <c r="C12" s="14" t="n">
        <f aca="false">SUMIFS('Expense Data'!I:I,'Expense Data'!E:E,A12,'Expense Data'!C:C,"Jan")</f>
        <v>0</v>
      </c>
      <c r="D12" s="14" t="n">
        <f aca="false">SUMIFS('Expense Data'!H:H,'Expense Data'!E:E,A12,'Expense Data'!C:C,"Feb")</f>
        <v>742.16</v>
      </c>
      <c r="E12" s="14" t="n">
        <f aca="false">SUMIFS('Expense Data'!I:I,'Expense Data'!E:E,A12,'Expense Data'!C:C,"Feb")</f>
        <v>651.32</v>
      </c>
      <c r="F12" s="14" t="n">
        <f aca="false">SUMIFS('Expense Data'!H:H,'Expense Data'!E:E,A12,'Expense Data'!C:C,"Mar")</f>
        <v>0</v>
      </c>
      <c r="G12" s="14" t="n">
        <f aca="false">SUMIFS('Expense Data'!I:I,'Expense Data'!E:E,A12,'Expense Data'!C:C,"Mar")</f>
        <v>0</v>
      </c>
      <c r="H12" s="14" t="n">
        <f aca="false">SUMIFS('Expense Data'!H:H,'Expense Data'!E:E,A12,'Expense Data'!C:C,"Apr")</f>
        <v>370.09</v>
      </c>
      <c r="I12" s="14" t="n">
        <f aca="false">SUMIFS('Expense Data'!I:I,'Expense Data'!E:E,A12,'Expense Data'!C:C,"Apr")</f>
        <v>401.91</v>
      </c>
      <c r="J12" s="14" t="n">
        <f aca="false">SUMIFS('Expense Data'!H:H,'Expense Data'!E:E,A12,'Expense Data'!C:C,"May")</f>
        <v>387.04</v>
      </c>
      <c r="K12" s="14" t="n">
        <f aca="false">SUMIFS('Expense Data'!I:I,'Expense Data'!E:E,A12,'Expense Data'!C:C,"May")</f>
        <v>480.03</v>
      </c>
      <c r="L12" s="14" t="n">
        <f aca="false">SUMIFS('Expense Data'!H:H,'Expense Data'!E:E,A12,'Expense Data'!C:C,"Jun")</f>
        <v>189.17</v>
      </c>
      <c r="M12" s="14" t="n">
        <f aca="false">SUMIFS('Expense Data'!I:I,'Expense Data'!E:E,A12,'Expense Data'!C:C,"Jun")</f>
        <v>159.97</v>
      </c>
    </row>
  </sheetData>
  <mergeCells count="7">
    <mergeCell ref="A1:N1"/>
    <mergeCell ref="B2:C2"/>
    <mergeCell ref="D2:E2"/>
    <mergeCell ref="F2:G2"/>
    <mergeCell ref="H2:I2"/>
    <mergeCell ref="J2:K2"/>
    <mergeCell ref="L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34.5" hidden="false" customHeight="true" outlineLevel="0" collapsed="false">
      <c r="A1" s="8" t="s">
        <v>107</v>
      </c>
      <c r="B1" s="8"/>
      <c r="C1" s="8"/>
      <c r="D1" s="8"/>
    </row>
    <row r="2" customFormat="false" ht="15" hidden="false" customHeight="false" outlineLevel="0" collapsed="false">
      <c r="A2" s="9" t="s">
        <v>108</v>
      </c>
      <c r="B2" s="9" t="s">
        <v>109</v>
      </c>
      <c r="C2" s="9" t="s">
        <v>110</v>
      </c>
      <c r="D2" s="9" t="s">
        <v>111</v>
      </c>
    </row>
    <row r="3" customFormat="false" ht="39.75" hidden="false" customHeight="true" outlineLevel="0" collapsed="false">
      <c r="A3" s="28" t="s">
        <v>112</v>
      </c>
      <c r="B3" s="28" t="s">
        <v>113</v>
      </c>
      <c r="C3" s="28" t="s">
        <v>114</v>
      </c>
      <c r="D3" s="28" t="s">
        <v>115</v>
      </c>
    </row>
    <row r="4" customFormat="false" ht="39.75" hidden="false" customHeight="true" outlineLevel="0" collapsed="false">
      <c r="A4" s="29" t="s">
        <v>116</v>
      </c>
      <c r="B4" s="29" t="s">
        <v>113</v>
      </c>
      <c r="C4" s="29" t="s">
        <v>117</v>
      </c>
      <c r="D4" s="29" t="s">
        <v>118</v>
      </c>
    </row>
    <row r="5" customFormat="false" ht="39.75" hidden="false" customHeight="true" outlineLevel="0" collapsed="false">
      <c r="A5" s="28" t="s">
        <v>119</v>
      </c>
      <c r="B5" s="28" t="s">
        <v>120</v>
      </c>
      <c r="C5" s="28" t="s">
        <v>121</v>
      </c>
      <c r="D5" s="28" t="s">
        <v>122</v>
      </c>
    </row>
    <row r="6" customFormat="false" ht="39.75" hidden="false" customHeight="true" outlineLevel="0" collapsed="false">
      <c r="A6" s="29" t="s">
        <v>123</v>
      </c>
      <c r="B6" s="29" t="s">
        <v>124</v>
      </c>
      <c r="C6" s="29" t="s">
        <v>125</v>
      </c>
      <c r="D6" s="29" t="s">
        <v>122</v>
      </c>
    </row>
    <row r="7" customFormat="false" ht="39.75" hidden="false" customHeight="true" outlineLevel="0" collapsed="false">
      <c r="A7" s="28" t="s">
        <v>126</v>
      </c>
      <c r="B7" s="28" t="s">
        <v>127</v>
      </c>
      <c r="C7" s="28" t="s">
        <v>128</v>
      </c>
      <c r="D7" s="28" t="s">
        <v>122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2026-08-24T06:33:33Z</dcterms:created>
  <dc:creator>openpyxl</dc:creator>
  <dc:description/>
  <dc:language>en-US</dc:language>
  <cp:lastModifiedBy/>
  <dcterms:modified xsi:type="dcterms:W3CDTF">2026-08-24T06:33:33Z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